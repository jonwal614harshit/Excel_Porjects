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4.xml" ContentType="application/vnd.openxmlformats-officedocument.drawing+xml"/>
  <Override PartName="/xl/slicers/slicer2.xml" ContentType="application/vnd.ms-excel.slicer+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166925"/>
  <mc:AlternateContent xmlns:mc="http://schemas.openxmlformats.org/markup-compatibility/2006">
    <mc:Choice Requires="x15">
      <x15ac:absPath xmlns:x15ac="http://schemas.microsoft.com/office/spreadsheetml/2010/11/ac" url="E:\Project\Excel\"/>
    </mc:Choice>
  </mc:AlternateContent>
  <xr:revisionPtr revIDLastSave="0" documentId="13_ncr:1_{E850FB92-CDD5-4383-83A0-CA2F0C2797B0}" xr6:coauthVersionLast="47" xr6:coauthVersionMax="47" xr10:uidLastSave="{00000000-0000-0000-0000-000000000000}"/>
  <bookViews>
    <workbookView xWindow="-120" yWindow="-120" windowWidth="24240" windowHeight="13140" activeTab="3" xr2:uid="{8071A2B1-9955-4DBE-B0C8-50FDED92DF50}"/>
  </bookViews>
  <sheets>
    <sheet name="RAW DATA" sheetId="1" r:id="rId1"/>
    <sheet name="Pivot || anlysis" sheetId="3" r:id="rId2"/>
    <sheet name="Sales || DashBoard" sheetId="2" r:id="rId3"/>
    <sheet name="Region || DashBoard" sheetId="4" r:id="rId4"/>
  </sheets>
  <definedNames>
    <definedName name="Slicer_Region">#N/A</definedName>
    <definedName name="Slicer_Region1">#N/A</definedName>
  </definedNames>
  <calcPr calcId="191029"/>
  <pivotCaches>
    <pivotCache cacheId="2" r:id="rId5"/>
  </pivotCaches>
  <extLst>
    <ext xmlns:x14="http://schemas.microsoft.com/office/spreadsheetml/2009/9/main" uri="{BBE1A952-AA13-448e-AADC-164F8A28A991}">
      <x14:slicerCaches>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6" i="1" l="1"/>
  <c r="Q5" i="1"/>
  <c r="Q4" i="1"/>
  <c r="I143" i="1"/>
  <c r="K143" i="1" s="1"/>
  <c r="L143" i="1" s="1"/>
  <c r="I142" i="1"/>
  <c r="K142" i="1" s="1"/>
  <c r="L142" i="1" s="1"/>
  <c r="I141" i="1"/>
  <c r="K141" i="1" s="1"/>
  <c r="L141" i="1" s="1"/>
  <c r="I140" i="1"/>
  <c r="K140" i="1" s="1"/>
  <c r="L140" i="1" s="1"/>
  <c r="I139" i="1"/>
  <c r="K139" i="1" s="1"/>
  <c r="L139" i="1" s="1"/>
  <c r="I138" i="1"/>
  <c r="K138" i="1" s="1"/>
  <c r="L138" i="1" s="1"/>
  <c r="I137" i="1"/>
  <c r="K137" i="1" s="1"/>
  <c r="L137" i="1" s="1"/>
  <c r="K136" i="1"/>
  <c r="L136" i="1" s="1"/>
  <c r="I136" i="1"/>
  <c r="I135" i="1"/>
  <c r="K135" i="1" s="1"/>
  <c r="L135" i="1" s="1"/>
  <c r="I134" i="1"/>
  <c r="K134" i="1" s="1"/>
  <c r="L134" i="1" s="1"/>
  <c r="I133" i="1"/>
  <c r="K133" i="1" s="1"/>
  <c r="L133" i="1" s="1"/>
  <c r="I132" i="1"/>
  <c r="K132" i="1" s="1"/>
  <c r="L132" i="1" s="1"/>
  <c r="I131" i="1"/>
  <c r="K131" i="1" s="1"/>
  <c r="L131" i="1" s="1"/>
  <c r="I130" i="1"/>
  <c r="K130" i="1" s="1"/>
  <c r="L130" i="1" s="1"/>
  <c r="I129" i="1"/>
  <c r="K129" i="1" s="1"/>
  <c r="L129" i="1" s="1"/>
  <c r="K128" i="1"/>
  <c r="L128" i="1" s="1"/>
  <c r="I128" i="1"/>
  <c r="I127" i="1"/>
  <c r="K127" i="1" s="1"/>
  <c r="L127" i="1" s="1"/>
  <c r="I126" i="1"/>
  <c r="K126" i="1" s="1"/>
  <c r="L126" i="1" s="1"/>
  <c r="I125" i="1"/>
  <c r="K125" i="1" s="1"/>
  <c r="L125" i="1" s="1"/>
  <c r="I124" i="1"/>
  <c r="K124" i="1" s="1"/>
  <c r="L124" i="1" s="1"/>
  <c r="I123" i="1"/>
  <c r="K123" i="1" s="1"/>
  <c r="L123" i="1" s="1"/>
  <c r="I122" i="1"/>
  <c r="K122" i="1" s="1"/>
  <c r="L122" i="1" s="1"/>
  <c r="I121" i="1"/>
  <c r="K121" i="1" s="1"/>
  <c r="L121" i="1" s="1"/>
  <c r="K120" i="1"/>
  <c r="L120" i="1" s="1"/>
  <c r="I120" i="1"/>
  <c r="I119" i="1"/>
  <c r="K119" i="1" s="1"/>
  <c r="L119" i="1" s="1"/>
  <c r="I118" i="1"/>
  <c r="K118" i="1" s="1"/>
  <c r="L118" i="1" s="1"/>
  <c r="I117" i="1"/>
  <c r="K117" i="1" s="1"/>
  <c r="L117" i="1" s="1"/>
  <c r="I116" i="1"/>
  <c r="K116" i="1" s="1"/>
  <c r="L116" i="1" s="1"/>
  <c r="I115" i="1"/>
  <c r="K115" i="1" s="1"/>
  <c r="L115" i="1" s="1"/>
  <c r="I114" i="1"/>
  <c r="K114" i="1" s="1"/>
  <c r="L114" i="1" s="1"/>
  <c r="I113" i="1"/>
  <c r="K113" i="1" s="1"/>
  <c r="L113" i="1" s="1"/>
  <c r="K112" i="1"/>
  <c r="L112" i="1" s="1"/>
  <c r="I112" i="1"/>
  <c r="I111" i="1"/>
  <c r="K111" i="1" s="1"/>
  <c r="L111" i="1" s="1"/>
  <c r="I110" i="1"/>
  <c r="K110" i="1" s="1"/>
  <c r="L110" i="1" s="1"/>
  <c r="I109" i="1"/>
  <c r="K109" i="1" s="1"/>
  <c r="L109" i="1" s="1"/>
  <c r="I108" i="1"/>
  <c r="K108" i="1" s="1"/>
  <c r="L108" i="1" s="1"/>
  <c r="I107" i="1"/>
  <c r="K107" i="1" s="1"/>
  <c r="L107" i="1" s="1"/>
  <c r="I106" i="1"/>
  <c r="K106" i="1" s="1"/>
  <c r="L106" i="1" s="1"/>
  <c r="I105" i="1"/>
  <c r="K105" i="1" s="1"/>
  <c r="L105" i="1" s="1"/>
  <c r="K104" i="1"/>
  <c r="L104" i="1" s="1"/>
  <c r="I104" i="1"/>
  <c r="I103" i="1"/>
  <c r="K103" i="1" s="1"/>
  <c r="L103" i="1" s="1"/>
  <c r="I102" i="1"/>
  <c r="K102" i="1" s="1"/>
  <c r="L102" i="1" s="1"/>
  <c r="I101" i="1"/>
  <c r="K101" i="1" s="1"/>
  <c r="L101" i="1" s="1"/>
  <c r="I100" i="1"/>
  <c r="K100" i="1" s="1"/>
  <c r="L100" i="1" s="1"/>
  <c r="I99" i="1"/>
  <c r="K99" i="1" s="1"/>
  <c r="L99" i="1" s="1"/>
  <c r="I98" i="1"/>
  <c r="K98" i="1" s="1"/>
  <c r="L98" i="1" s="1"/>
  <c r="I97" i="1"/>
  <c r="K97" i="1" s="1"/>
  <c r="L97" i="1" s="1"/>
  <c r="K96" i="1"/>
  <c r="L96" i="1" s="1"/>
  <c r="I96" i="1"/>
  <c r="I95" i="1"/>
  <c r="K95" i="1" s="1"/>
  <c r="L95" i="1" s="1"/>
  <c r="I94" i="1"/>
  <c r="K94" i="1" s="1"/>
  <c r="L94" i="1" s="1"/>
  <c r="I93" i="1"/>
  <c r="K93" i="1" s="1"/>
  <c r="L93" i="1" s="1"/>
  <c r="I92" i="1"/>
  <c r="K92" i="1" s="1"/>
  <c r="L92" i="1" s="1"/>
  <c r="I91" i="1"/>
  <c r="K91" i="1" s="1"/>
  <c r="L91" i="1" s="1"/>
  <c r="I90" i="1"/>
  <c r="K90" i="1" s="1"/>
  <c r="L90" i="1" s="1"/>
  <c r="I89" i="1"/>
  <c r="K89" i="1" s="1"/>
  <c r="L89" i="1" s="1"/>
  <c r="K88" i="1"/>
  <c r="L88" i="1" s="1"/>
  <c r="I88" i="1"/>
  <c r="I87" i="1"/>
  <c r="K87" i="1" s="1"/>
  <c r="L87" i="1" s="1"/>
  <c r="I86" i="1"/>
  <c r="K86" i="1" s="1"/>
  <c r="L86" i="1" s="1"/>
  <c r="I85" i="1"/>
  <c r="K85" i="1" s="1"/>
  <c r="L85" i="1" s="1"/>
  <c r="I84" i="1"/>
  <c r="K84" i="1" s="1"/>
  <c r="L84" i="1" s="1"/>
  <c r="I83" i="1"/>
  <c r="K83" i="1" s="1"/>
  <c r="L83" i="1" s="1"/>
  <c r="I82" i="1"/>
  <c r="K82" i="1" s="1"/>
  <c r="L82" i="1" s="1"/>
  <c r="I81" i="1"/>
  <c r="K81" i="1" s="1"/>
  <c r="L81" i="1" s="1"/>
  <c r="K80" i="1"/>
  <c r="L80" i="1" s="1"/>
  <c r="I80" i="1"/>
  <c r="I79" i="1"/>
  <c r="K79" i="1" s="1"/>
  <c r="L79" i="1" s="1"/>
  <c r="I78" i="1"/>
  <c r="K78" i="1" s="1"/>
  <c r="L78" i="1" s="1"/>
  <c r="I77" i="1"/>
  <c r="K77" i="1" s="1"/>
  <c r="L77" i="1" s="1"/>
  <c r="I76" i="1"/>
  <c r="K76" i="1" s="1"/>
  <c r="L76" i="1" s="1"/>
  <c r="I75" i="1"/>
  <c r="K75" i="1" s="1"/>
  <c r="L75" i="1" s="1"/>
  <c r="I74" i="1"/>
  <c r="K74" i="1" s="1"/>
  <c r="L74" i="1" s="1"/>
  <c r="I73" i="1"/>
  <c r="K73" i="1" s="1"/>
  <c r="L73" i="1" s="1"/>
  <c r="K72" i="1"/>
  <c r="L72" i="1" s="1"/>
  <c r="I72" i="1"/>
  <c r="I71" i="1"/>
  <c r="K71" i="1" s="1"/>
  <c r="L71" i="1" s="1"/>
  <c r="I70" i="1"/>
  <c r="K70" i="1" s="1"/>
  <c r="L70" i="1" s="1"/>
  <c r="I69" i="1"/>
  <c r="K69" i="1" s="1"/>
  <c r="L69" i="1" s="1"/>
  <c r="I68" i="1"/>
  <c r="K68" i="1" s="1"/>
  <c r="L68" i="1" s="1"/>
  <c r="I67" i="1"/>
  <c r="K67" i="1" s="1"/>
  <c r="L67" i="1" s="1"/>
  <c r="I66" i="1"/>
  <c r="K66" i="1" s="1"/>
  <c r="L66" i="1" s="1"/>
  <c r="I65" i="1"/>
  <c r="K65" i="1" s="1"/>
  <c r="L65" i="1" s="1"/>
  <c r="K64" i="1"/>
  <c r="L64" i="1" s="1"/>
  <c r="I64" i="1"/>
  <c r="I63" i="1"/>
  <c r="K63" i="1" s="1"/>
  <c r="L63" i="1" s="1"/>
  <c r="I62" i="1"/>
  <c r="K62" i="1" s="1"/>
  <c r="L62" i="1" s="1"/>
  <c r="I61" i="1"/>
  <c r="K61" i="1" s="1"/>
  <c r="L61" i="1" s="1"/>
  <c r="I60" i="1"/>
  <c r="K60" i="1" s="1"/>
  <c r="L60" i="1" s="1"/>
  <c r="I59" i="1"/>
  <c r="K59" i="1" s="1"/>
  <c r="L59" i="1" s="1"/>
  <c r="I58" i="1"/>
  <c r="K58" i="1" s="1"/>
  <c r="L58" i="1" s="1"/>
  <c r="I57" i="1"/>
  <c r="K57" i="1" s="1"/>
  <c r="L57" i="1" s="1"/>
  <c r="K56" i="1"/>
  <c r="L56" i="1" s="1"/>
  <c r="I56" i="1"/>
  <c r="I55" i="1"/>
  <c r="K55" i="1" s="1"/>
  <c r="L55" i="1" s="1"/>
  <c r="I54" i="1"/>
  <c r="K54" i="1" s="1"/>
  <c r="L54" i="1" s="1"/>
  <c r="I53" i="1"/>
  <c r="K53" i="1" s="1"/>
  <c r="L53" i="1" s="1"/>
  <c r="I52" i="1"/>
  <c r="K52" i="1" s="1"/>
  <c r="L52" i="1" s="1"/>
  <c r="I51" i="1"/>
  <c r="K51" i="1" s="1"/>
  <c r="L51" i="1" s="1"/>
  <c r="I50" i="1"/>
  <c r="K50" i="1" s="1"/>
  <c r="L50" i="1" s="1"/>
  <c r="I49" i="1"/>
  <c r="K49" i="1" s="1"/>
  <c r="L49" i="1" s="1"/>
  <c r="K48" i="1"/>
  <c r="L48" i="1" s="1"/>
  <c r="I48" i="1"/>
  <c r="I47" i="1"/>
  <c r="K47" i="1" s="1"/>
  <c r="L47" i="1" s="1"/>
  <c r="I46" i="1"/>
  <c r="K46" i="1" s="1"/>
  <c r="L46" i="1" s="1"/>
  <c r="I45" i="1"/>
  <c r="K45" i="1" s="1"/>
  <c r="L45" i="1" s="1"/>
  <c r="I44" i="1"/>
  <c r="K44" i="1" s="1"/>
  <c r="L44" i="1" s="1"/>
  <c r="I43" i="1"/>
  <c r="K43" i="1" s="1"/>
  <c r="L43" i="1" s="1"/>
  <c r="I42" i="1"/>
  <c r="K42" i="1" s="1"/>
  <c r="L42" i="1" s="1"/>
  <c r="I41" i="1"/>
  <c r="K41" i="1" s="1"/>
  <c r="L41" i="1" s="1"/>
  <c r="K40" i="1"/>
  <c r="L40" i="1" s="1"/>
  <c r="I40" i="1"/>
  <c r="I39" i="1"/>
  <c r="K39" i="1" s="1"/>
  <c r="L39" i="1" s="1"/>
  <c r="I38" i="1"/>
  <c r="K38" i="1" s="1"/>
  <c r="L38" i="1" s="1"/>
  <c r="I37" i="1"/>
  <c r="K37" i="1" s="1"/>
  <c r="L37" i="1" s="1"/>
  <c r="I36" i="1"/>
  <c r="K36" i="1" s="1"/>
  <c r="L36" i="1" s="1"/>
  <c r="I35" i="1"/>
  <c r="K35" i="1" s="1"/>
  <c r="L35" i="1" s="1"/>
  <c r="I34" i="1"/>
  <c r="K34" i="1" s="1"/>
  <c r="L34" i="1" s="1"/>
  <c r="I33" i="1"/>
  <c r="K33" i="1" s="1"/>
  <c r="L33" i="1" s="1"/>
  <c r="K32" i="1"/>
  <c r="L32" i="1" s="1"/>
  <c r="I32" i="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K16" i="1"/>
  <c r="L16" i="1" s="1"/>
  <c r="I16" i="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Q3" i="1" s="1"/>
  <c r="I3" i="1"/>
  <c r="K3" i="1" s="1"/>
  <c r="K4" i="1" l="1"/>
  <c r="L4" i="1" s="1"/>
  <c r="L3" i="1"/>
</calcChain>
</file>

<file path=xl/sharedStrings.xml><?xml version="1.0" encoding="utf-8"?>
<sst xmlns="http://schemas.openxmlformats.org/spreadsheetml/2006/main" count="506" uniqueCount="321">
  <si>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</si>
  <si>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</si>
  <si>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</si>
  <si>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</si>
  <si>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</si>
  <si>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</si>
  <si>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</si>
  <si>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</si>
  <si>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</si>
  <si>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</si>
  <si>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</si>
  <si>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</si>
  <si>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</si>
  <si>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</si>
  <si>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</si>
  <si>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</si>
  <si>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</si>
  <si>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</si>
  <si>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</si>
  <si>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</si>
  <si>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</si>
  <si>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</si>
  <si>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</si>
  <si>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</si>
  <si>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</si>
  <si>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</si>
  <si>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</si>
  <si>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</si>
  <si>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</si>
  <si>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</si>
  <si>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</si>
  <si>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</si>
  <si>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</si>
  <si>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</si>
  <si>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</si>
  <si>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</si>
  <si>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</si>
  <si>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</si>
  <si>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</si>
  <si>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</si>
  <si>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</si>
  <si>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</si>
  <si>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</si>
  <si>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</si>
  <si>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</si>
  <si>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</si>
  <si>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</si>
  <si>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</si>
  <si>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</si>
  <si>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</si>
  <si>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</si>
  <si>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</si>
  <si>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</si>
  <si>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</si>
  <si>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</si>
  <si>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</si>
  <si>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</si>
  <si>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</si>
  <si>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</si>
  <si>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</si>
  <si>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</si>
  <si>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</si>
  <si>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</si>
  <si>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</si>
  <si>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</si>
  <si>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</si>
  <si>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</si>
  <si>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</si>
  <si>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</si>
  <si>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</si>
  <si>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</si>
  <si>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</si>
  <si>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</si>
  <si>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</si>
  <si>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</si>
  <si>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</si>
  <si>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</si>
  <si>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</si>
  <si>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</si>
  <si>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</si>
  <si>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</si>
  <si>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</si>
  <si>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</si>
  <si>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</si>
  <si>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</si>
  <si>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</si>
  <si>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</si>
  <si>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</si>
  <si>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</si>
  <si>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</si>
  <si>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</si>
  <si>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</si>
  <si>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</si>
  <si>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</si>
  <si>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</si>
  <si>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</si>
  <si>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</si>
  <si>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</si>
  <si>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</si>
  <si>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</si>
  <si>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</si>
  <si>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</si>
  <si>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</si>
  <si>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</si>
  <si>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</si>
  <si>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</si>
  <si>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</si>
  <si>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</si>
  <si>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</si>
  <si>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</si>
  <si>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</si>
  <si>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</si>
  <si>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</si>
  <si>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</si>
  <si>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</si>
  <si>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</si>
  <si>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</si>
  <si>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</si>
  <si>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</si>
  <si>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</si>
  <si>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</si>
  <si>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</si>
  <si>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</si>
  <si>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</si>
  <si>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</si>
  <si>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</si>
  <si>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</si>
  <si>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</si>
  <si>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</si>
  <si>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</si>
  <si>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</si>
  <si>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</si>
  <si>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</si>
  <si>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</si>
  <si>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</si>
  <si>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</si>
  <si>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</si>
  <si>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</si>
  <si>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</si>
  <si>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</si>
  <si>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</si>
  <si>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</si>
  <si>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</si>
  <si>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</si>
  <si>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</si>
  <si>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</si>
  <si>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</si>
  <si>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</si>
  <si>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</si>
  <si>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</si>
  <si>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</si>
  <si>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</si>
  <si>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</si>
  <si>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</si>
  <si>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</si>
  <si>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</si>
  <si>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</si>
  <si>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</si>
  <si>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</si>
  <si>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</si>
  <si>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</si>
  <si>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</si>
  <si>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</si>
  <si>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</si>
  <si>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</si>
  <si>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</si>
  <si>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</si>
  <si>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</si>
  <si>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</si>
  <si>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</si>
  <si>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</si>
  <si>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</si>
  <si>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</si>
  <si>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</si>
  <si>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</si>
  <si>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</si>
  <si>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</si>
  <si>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</si>
  <si>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</si>
  <si>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</si>
  <si>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</si>
  <si>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</si>
  <si>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</si>
  <si>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</si>
  <si>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</si>
  <si>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</si>
  <si>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</si>
  <si>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</si>
  <si>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</si>
  <si>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</si>
  <si>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</si>
  <si>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</si>
  <si>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</si>
  <si>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</si>
  <si>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</si>
  <si>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</si>
  <si>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</si>
  <si>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</si>
  <si>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</si>
  <si>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</si>
  <si>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</si>
  <si>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</si>
  <si>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</si>
  <si>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</si>
  <si>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</si>
  <si>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</si>
  <si>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</si>
  <si>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</si>
  <si>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</si>
  <si>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</si>
  <si>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</si>
  <si>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</si>
  <si>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</si>
  <si>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</si>
  <si>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</si>
  <si>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</si>
  <si>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</si>
  <si>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</si>
  <si>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</si>
  <si>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</si>
  <si>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</si>
  <si>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</si>
  <si>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</si>
  <si>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</si>
  <si>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</si>
  <si>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</si>
  <si>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</si>
  <si>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</si>
  <si>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</si>
  <si>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</si>
  <si>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</si>
  <si>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</si>
  <si>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</si>
  <si>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</si>
  <si>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</si>
  <si>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</si>
  <si>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</si>
  <si>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</si>
  <si>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</si>
  <si>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</si>
  <si>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</si>
  <si>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</si>
  <si>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</si>
  <si>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</si>
  <si>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</si>
  <si>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</si>
  <si>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</si>
  <si>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</si>
  <si>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</si>
  <si>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</si>
  <si>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</si>
  <si>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</si>
  <si>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</si>
  <si>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</si>
  <si>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</si>
  <si>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</si>
  <si>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</si>
  <si>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</si>
  <si>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</si>
  <si>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</si>
  <si>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</si>
  <si>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</si>
  <si>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</si>
  <si>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</si>
  <si>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</si>
  <si>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</si>
  <si>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</si>
  <si>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</si>
  <si>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</si>
  <si>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</si>
  <si>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</si>
  <si>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</si>
  <si>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</si>
  <si>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</si>
  <si>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</si>
  <si>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</si>
  <si>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</si>
  <si>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</si>
  <si>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</si>
  <si>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</si>
  <si>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</si>
  <si>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</si>
  <si>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</si>
  <si>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</si>
  <si>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</si>
  <si>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</si>
  <si>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</si>
  <si>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</si>
  <si>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</si>
  <si>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</si>
  <si>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</si>
  <si>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</si>
  <si>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</si>
  <si>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</si>
  <si>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</si>
  <si>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</si>
  <si>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</si>
  <si>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</si>
  <si>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</si>
  <si>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</si>
  <si>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</si>
  <si>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</si>
  <si>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Target Hit % wise</t>
  </si>
  <si>
    <t>Away From Target % wise</t>
  </si>
  <si>
    <t xml:space="preserve"> </t>
  </si>
  <si>
    <t xml:space="preserve">Top Sales </t>
  </si>
  <si>
    <t xml:space="preserve">Bottom Sales </t>
  </si>
  <si>
    <t>total Sales</t>
  </si>
  <si>
    <t>Avg Sales</t>
  </si>
  <si>
    <t>max</t>
  </si>
  <si>
    <t>min</t>
  </si>
  <si>
    <t>Row Labels</t>
  </si>
  <si>
    <t>Grand Total</t>
  </si>
  <si>
    <t xml:space="preserve">Day1 </t>
  </si>
  <si>
    <t xml:space="preserve">Day2 </t>
  </si>
  <si>
    <t xml:space="preserve">Day3 </t>
  </si>
  <si>
    <t xml:space="preserve">Day4 </t>
  </si>
  <si>
    <t xml:space="preserve">Day5 </t>
  </si>
  <si>
    <t xml:space="preserve">Total Sales </t>
  </si>
  <si>
    <t xml:space="preserve">Target Hit % </t>
  </si>
  <si>
    <t xml:space="preserve">Away From Target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</si>
</sst>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7"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
      <sz val="11"/>
      <color theme="0"/>
      <name val="Calibri"/>
      <family val="2"/>
      <scheme val="minor"/>
    </font>
  </fonts>
  <fills count="4">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49">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0" borderId="3" xfId="0" applyBorder="1"/>
    <xf numFmtId="0" fontId="0" fillId="0" borderId="4" xfId="0" applyBorder="1"/>
    <xf numFmtId="0" fontId="0" fillId="0" borderId="6" xfId="0" applyBorder="1"/>
    <xf numFmtId="0" fontId="0" fillId="0" borderId="5" xfId="0" applyBorder="1"/>
    <xf numFmtId="0" fontId="0" fillId="0" borderId="7" xfId="0" applyBorder="1"/>
    <xf numFmtId="0" fontId="0" fillId="0" borderId="8" xfId="0" applyBorder="1"/>
    <xf numFmtId="0" fontId="0" fillId="0" borderId="9" xfId="0" applyBorder="1"/>
    <xf numFmtId="0" fontId="0" fillId="0" borderId="2" xfId="0" applyBorder="1"/>
    <xf numFmtId="0" fontId="6" fillId="0" borderId="0" xfId="0" applyFont="1" applyAlignment="1">
      <alignment horizontal="center" vertical="center"/>
    </xf>
    <xf numFmtId="10" fontId="0" fillId="0" borderId="6" xfId="0" applyNumberFormat="1" applyBorder="1"/>
    <xf numFmtId="10" fontId="0" fillId="0" borderId="9" xfId="0" applyNumberFormat="1" applyBorder="1"/>
    <xf numFmtId="10" fontId="0" fillId="0" borderId="4" xfId="0" applyNumberFormat="1" applyBorder="1"/>
    <xf numFmtId="0" fontId="0" fillId="0" borderId="1" xfId="0" pivotButton="1" applyBorder="1"/>
    <xf numFmtId="0" fontId="0" fillId="0" borderId="10" xfId="0" applyBorder="1" applyAlignment="1">
      <alignment horizontal="left"/>
    </xf>
    <xf numFmtId="0" fontId="0" fillId="0" borderId="11" xfId="0" applyBorder="1" applyAlignment="1">
      <alignment horizontal="left"/>
    </xf>
    <xf numFmtId="0" fontId="0" fillId="0" borderId="12" xfId="0" applyBorder="1" applyAlignment="1">
      <alignment horizontal="left"/>
    </xf>
    <xf numFmtId="0" fontId="0" fillId="0" borderId="1" xfId="0" applyBorder="1" applyAlignment="1">
      <alignment horizontal="left"/>
    </xf>
    <xf numFmtId="0" fontId="0" fillId="0" borderId="13" xfId="0" applyBorder="1"/>
    <xf numFmtId="0" fontId="0" fillId="0" borderId="14" xfId="0" applyBorder="1"/>
    <xf numFmtId="10" fontId="0" fillId="0" borderId="2" xfId="0" applyNumberFormat="1" applyBorder="1"/>
    <xf numFmtId="10" fontId="0" fillId="0" borderId="5" xfId="0" applyNumberFormat="1" applyBorder="1"/>
    <xf numFmtId="10" fontId="0" fillId="0" borderId="7" xfId="0" applyNumberFormat="1" applyBorder="1"/>
    <xf numFmtId="0" fontId="0" fillId="0" borderId="0" xfId="0" applyNumberFormat="1"/>
    <xf numFmtId="0" fontId="0" fillId="0" borderId="0" xfId="0" applyNumberFormat="1" applyBorder="1"/>
    <xf numFmtId="0" fontId="0" fillId="0" borderId="6" xfId="0" applyNumberFormat="1" applyBorder="1"/>
    <xf numFmtId="0" fontId="0" fillId="0" borderId="8" xfId="0" applyNumberFormat="1" applyBorder="1"/>
    <xf numFmtId="0" fontId="0" fillId="0" borderId="9" xfId="0" applyNumberFormat="1" applyBorder="1"/>
    <xf numFmtId="0" fontId="0" fillId="0" borderId="2" xfId="0" applyNumberFormat="1" applyBorder="1"/>
    <xf numFmtId="0" fontId="0" fillId="0" borderId="3" xfId="0" applyNumberFormat="1" applyBorder="1"/>
    <xf numFmtId="0" fontId="0" fillId="0" borderId="4" xfId="0" applyNumberFormat="1" applyBorder="1"/>
    <xf numFmtId="0" fontId="0" fillId="0" borderId="7" xfId="0" applyNumberFormat="1" applyBorder="1"/>
    <xf numFmtId="0" fontId="0" fillId="0" borderId="15" xfId="0" applyBorder="1"/>
    <xf numFmtId="0" fontId="0" fillId="0" borderId="10" xfId="0" applyNumberFormat="1" applyBorder="1"/>
    <xf numFmtId="0" fontId="0" fillId="0" borderId="12" xfId="0" applyNumberFormat="1" applyBorder="1"/>
    <xf numFmtId="0" fontId="0" fillId="0" borderId="1" xfId="0" applyBorder="1"/>
    <xf numFmtId="0" fontId="0" fillId="0" borderId="5" xfId="0" applyNumberFormat="1" applyBorder="1"/>
    <xf numFmtId="0" fontId="0" fillId="0" borderId="11" xfId="0" applyNumberFormat="1" applyBorder="1"/>
  </cellXfs>
  <cellStyles count="2">
    <cellStyle name="Normal" xfId="0" builtinId="0"/>
    <cellStyle name="Percent" xfId="1" builtinId="5"/>
  </cellStyles>
  <dxfs count="318">
    <dxf>
      <numFmt numFmtId="14" formatCode="0.00%"/>
    </dxf>
    <dxf>
      <numFmt numFmtId="2" formatCode="0.00"/>
    </dxf>
    <dxf>
      <numFmt numFmtId="2" formatCode="0.0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4" formatCode="0.00%"/>
    </dxf>
    <dxf>
      <numFmt numFmtId="2" formatCode="0.0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4" formatCode="0.0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4" formatCode="0.0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4" formatCode="0.0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4" formatCode="0.0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4" formatCode="0.0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4" formatCode="0.0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4" formatCode="0.0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4" formatCode="0.0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4" formatCode="0.0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4" formatCode="0.0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4" formatCode="0.0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4" formatCode="0.0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4" formatCode="0.0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4" formatCode="0.0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4" formatCode="0.0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4" formatCode="0.0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4" formatCode="0.0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4" formatCode="0.0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4" formatCode="0.0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4" formatCode="0.0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4" formatCode="0.0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4" formatCode="0.0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4" formatCode="0.0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4" formatCode="0.0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4" formatCode="0.0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4" formatCode="0.0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4" formatCode="0.0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4" formatCode="0.0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bgColor theme="0"/>
        </patternFill>
      </fill>
    </dxf>
    <dxf>
      <fill>
        <patternFill>
          <bgColor theme="1" tint="4.9989318521683403E-2"/>
        </patternFill>
      </fill>
    </dxf>
  </dxfs>
  <tableStyles count="1" defaultTableStyle="TableStyleMedium2" defaultPivotStyle="PivotStyleLight16">
    <tableStyle name="Slicer Style 1" pivot="0" table="0" count="7" xr9:uid="{0C1684BE-BA77-44C2-8E16-5C38749C5241}">
      <tableStyleElement type="wholeTable" dxfId="317"/>
      <tableStyleElement type="headerRow" dxfId="316"/>
    </tableStyle>
  </tableStyles>
  <colors>
    <mruColors>
      <color rgb="FFFED8D8"/>
    </mruColors>
  </colors>
  <extLst>
    <ext xmlns:x14="http://schemas.microsoft.com/office/spreadsheetml/2009/9/main" uri="{46F421CA-312F-682f-3DD2-61675219B42D}">
      <x14:dxfs count="5">
        <dxf>
          <fill>
            <patternFill>
              <bgColor theme="0"/>
            </patternFill>
          </fill>
        </dxf>
        <dxf>
          <fill>
            <patternFill>
              <bgColor theme="9" tint="0.79998168889431442"/>
            </patternFill>
          </fill>
        </dxf>
        <dxf>
          <fill>
            <patternFill>
              <bgColor theme="0" tint="-0.499984740745262"/>
            </patternFill>
          </fill>
        </dxf>
        <dxf>
          <fill>
            <patternFill>
              <bgColor theme="0" tint="-4.9989318521683403E-2"/>
            </patternFill>
          </fill>
        </dxf>
        <dxf>
          <font>
            <color theme="9" tint="0.79998168889431442"/>
          </font>
          <fill>
            <patternFill>
              <bgColor theme="9" tint="-0.49998474074526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4"/>
            <x14:slicerStyleElement type="selectedItemWithData" dxfId="3"/>
            <x14:slicerStyleElement type="selectedItemWithNo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2.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calcChain" Target="calcChain.xml"/><Relationship Id="rId5" Type="http://schemas.openxmlformats.org/officeDocument/2006/relationships/pivotCacheDefinition" Target="pivotCache/pivotCacheDefinition1.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[1_project_micro.xlsm]Pivot || anlysis!PivotTable1</c:name>
    <c:fmtId val="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 anlysis'!$B$3</c:f>
              <c:strCache>
                <c:ptCount val="1"/>
                <c:pt idx="0">
                  <c:v>Day1 </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 anlysis'!$A$4:$A$12</c:f>
              <c:strCache>
                <c:ptCount val="8"/>
                <c:pt idx="0">
                  <c:v>Chennai</c:v>
                </c:pt>
                <c:pt idx="1">
                  <c:v>Delhi</c:v>
                </c:pt>
                <c:pt idx="2">
                  <c:v>Mumbai</c:v>
                </c:pt>
                <c:pt idx="3">
                  <c:v>Nagpur</c:v>
                </c:pt>
                <c:pt idx="4">
                  <c:v>Patna</c:v>
                </c:pt>
                <c:pt idx="5">
                  <c:v>Pune</c:v>
                </c:pt>
                <c:pt idx="6">
                  <c:v>Ranchi</c:v>
                </c:pt>
                <c:pt idx="7">
                  <c:v>Surat</c:v>
                </c:pt>
              </c:strCache>
            </c:strRef>
          </c:cat>
          <c:val>
            <c:numRef>
              <c:f>'Pivot || anlysis'!$B$4:$B$12</c:f>
              <c:numCache>
                <c:formatCode>General</c:formatCode>
                <c:ptCount val="8"/>
                <c:pt idx="0">
                  <c:v>1191</c:v>
                </c:pt>
                <c:pt idx="1">
                  <c:v>793</c:v>
                </c:pt>
                <c:pt idx="2">
                  <c:v>1026</c:v>
                </c:pt>
                <c:pt idx="3">
                  <c:v>1081</c:v>
                </c:pt>
                <c:pt idx="4">
                  <c:v>1075</c:v>
                </c:pt>
                <c:pt idx="5">
                  <c:v>1024</c:v>
                </c:pt>
                <c:pt idx="6">
                  <c:v>865</c:v>
                </c:pt>
                <c:pt idx="7">
                  <c:v>867</c:v>
                </c:pt>
              </c:numCache>
            </c:numRef>
          </c:val>
          <c:smooth val="0"/>
          <c:extLst>
            <c:ext xmlns:c16="http://schemas.microsoft.com/office/drawing/2014/chart" uri="{C3380CC4-5D6E-409C-BE32-E72D297353CC}">
              <c16:uniqueId val="{0000000A-C01B-4BF1-94AB-D671F168AE3E}"/>
            </c:ext>
          </c:extLst>
        </c:ser>
        <c:ser>
          <c:idx val="1"/>
          <c:order val="1"/>
          <c:tx>
            <c:strRef>
              <c:f>'Pivot || anlysis'!$C$3</c:f>
              <c:strCache>
                <c:ptCount val="1"/>
                <c:pt idx="0">
                  <c:v>Day2 </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 || anlysis'!$A$4:$A$12</c:f>
              <c:strCache>
                <c:ptCount val="8"/>
                <c:pt idx="0">
                  <c:v>Chennai</c:v>
                </c:pt>
                <c:pt idx="1">
                  <c:v>Delhi</c:v>
                </c:pt>
                <c:pt idx="2">
                  <c:v>Mumbai</c:v>
                </c:pt>
                <c:pt idx="3">
                  <c:v>Nagpur</c:v>
                </c:pt>
                <c:pt idx="4">
                  <c:v>Patna</c:v>
                </c:pt>
                <c:pt idx="5">
                  <c:v>Pune</c:v>
                </c:pt>
                <c:pt idx="6">
                  <c:v>Ranchi</c:v>
                </c:pt>
                <c:pt idx="7">
                  <c:v>Surat</c:v>
                </c:pt>
              </c:strCache>
            </c:strRef>
          </c:cat>
          <c:val>
            <c:numRef>
              <c:f>'Pivot || anlysis'!$C$4:$C$12</c:f>
              <c:numCache>
                <c:formatCode>General</c:formatCode>
                <c:ptCount val="8"/>
                <c:pt idx="0">
                  <c:v>969</c:v>
                </c:pt>
                <c:pt idx="1">
                  <c:v>1144</c:v>
                </c:pt>
                <c:pt idx="2">
                  <c:v>1162</c:v>
                </c:pt>
                <c:pt idx="3">
                  <c:v>1111</c:v>
                </c:pt>
                <c:pt idx="4">
                  <c:v>827</c:v>
                </c:pt>
                <c:pt idx="5">
                  <c:v>1026</c:v>
                </c:pt>
                <c:pt idx="6">
                  <c:v>827</c:v>
                </c:pt>
                <c:pt idx="7">
                  <c:v>899</c:v>
                </c:pt>
              </c:numCache>
            </c:numRef>
          </c:val>
          <c:smooth val="0"/>
          <c:extLst>
            <c:ext xmlns:c16="http://schemas.microsoft.com/office/drawing/2014/chart" uri="{C3380CC4-5D6E-409C-BE32-E72D297353CC}">
              <c16:uniqueId val="{0000000C-C01B-4BF1-94AB-D671F168AE3E}"/>
            </c:ext>
          </c:extLst>
        </c:ser>
        <c:ser>
          <c:idx val="2"/>
          <c:order val="2"/>
          <c:tx>
            <c:strRef>
              <c:f>'Pivot || anlysis'!$D$3</c:f>
              <c:strCache>
                <c:ptCount val="1"/>
                <c:pt idx="0">
                  <c:v>Day3 </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'Pivot || anlysis'!$A$4:$A$12</c:f>
              <c:strCache>
                <c:ptCount val="8"/>
                <c:pt idx="0">
                  <c:v>Chennai</c:v>
                </c:pt>
                <c:pt idx="1">
                  <c:v>Delhi</c:v>
                </c:pt>
                <c:pt idx="2">
                  <c:v>Mumbai</c:v>
                </c:pt>
                <c:pt idx="3">
                  <c:v>Nagpur</c:v>
                </c:pt>
                <c:pt idx="4">
                  <c:v>Patna</c:v>
                </c:pt>
                <c:pt idx="5">
                  <c:v>Pune</c:v>
                </c:pt>
                <c:pt idx="6">
                  <c:v>Ranchi</c:v>
                </c:pt>
                <c:pt idx="7">
                  <c:v>Surat</c:v>
                </c:pt>
              </c:strCache>
            </c:strRef>
          </c:cat>
          <c:val>
            <c:numRef>
              <c:f>'Pivot || anlysis'!$D$4:$D$12</c:f>
              <c:numCache>
                <c:formatCode>General</c:formatCode>
                <c:ptCount val="8"/>
                <c:pt idx="0">
                  <c:v>904</c:v>
                </c:pt>
                <c:pt idx="1">
                  <c:v>1061</c:v>
                </c:pt>
                <c:pt idx="2">
                  <c:v>981</c:v>
                </c:pt>
                <c:pt idx="3">
                  <c:v>1097</c:v>
                </c:pt>
                <c:pt idx="4">
                  <c:v>825</c:v>
                </c:pt>
                <c:pt idx="5">
                  <c:v>834</c:v>
                </c:pt>
                <c:pt idx="6">
                  <c:v>799</c:v>
                </c:pt>
                <c:pt idx="7">
                  <c:v>882</c:v>
                </c:pt>
              </c:numCache>
            </c:numRef>
          </c:val>
          <c:smooth val="0"/>
          <c:extLst>
            <c:ext xmlns:c16="http://schemas.microsoft.com/office/drawing/2014/chart" uri="{C3380CC4-5D6E-409C-BE32-E72D297353CC}">
              <c16:uniqueId val="{0000000D-C01B-4BF1-94AB-D671F168AE3E}"/>
            </c:ext>
          </c:extLst>
        </c:ser>
        <c:ser>
          <c:idx val="3"/>
          <c:order val="3"/>
          <c:tx>
            <c:strRef>
              <c:f>'Pivot || anlysis'!$E$3</c:f>
              <c:strCache>
                <c:ptCount val="1"/>
                <c:pt idx="0">
                  <c:v>Day4 </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'Pivot || anlysis'!$A$4:$A$12</c:f>
              <c:strCache>
                <c:ptCount val="8"/>
                <c:pt idx="0">
                  <c:v>Chennai</c:v>
                </c:pt>
                <c:pt idx="1">
                  <c:v>Delhi</c:v>
                </c:pt>
                <c:pt idx="2">
                  <c:v>Mumbai</c:v>
                </c:pt>
                <c:pt idx="3">
                  <c:v>Nagpur</c:v>
                </c:pt>
                <c:pt idx="4">
                  <c:v>Patna</c:v>
                </c:pt>
                <c:pt idx="5">
                  <c:v>Pune</c:v>
                </c:pt>
                <c:pt idx="6">
                  <c:v>Ranchi</c:v>
                </c:pt>
                <c:pt idx="7">
                  <c:v>Surat</c:v>
                </c:pt>
              </c:strCache>
            </c:strRef>
          </c:cat>
          <c:val>
            <c:numRef>
              <c:f>'Pivot || anlysis'!$E$4:$E$12</c:f>
              <c:numCache>
                <c:formatCode>General</c:formatCode>
                <c:ptCount val="8"/>
                <c:pt idx="0">
                  <c:v>1103</c:v>
                </c:pt>
                <c:pt idx="1">
                  <c:v>1089</c:v>
                </c:pt>
                <c:pt idx="2">
                  <c:v>1129</c:v>
                </c:pt>
                <c:pt idx="3">
                  <c:v>997</c:v>
                </c:pt>
                <c:pt idx="4">
                  <c:v>888</c:v>
                </c:pt>
                <c:pt idx="5">
                  <c:v>1113</c:v>
                </c:pt>
                <c:pt idx="6">
                  <c:v>1022</c:v>
                </c:pt>
                <c:pt idx="7">
                  <c:v>982</c:v>
                </c:pt>
              </c:numCache>
            </c:numRef>
          </c:val>
          <c:smooth val="0"/>
          <c:extLst>
            <c:ext xmlns:c16="http://schemas.microsoft.com/office/drawing/2014/chart" uri="{C3380CC4-5D6E-409C-BE32-E72D297353CC}">
              <c16:uniqueId val="{0000000E-C01B-4BF1-94AB-D671F168AE3E}"/>
            </c:ext>
          </c:extLst>
        </c:ser>
        <c:ser>
          <c:idx val="4"/>
          <c:order val="4"/>
          <c:tx>
            <c:strRef>
              <c:f>'Pivot || anlysis'!$F$3</c:f>
              <c:strCache>
                <c:ptCount val="1"/>
                <c:pt idx="0">
                  <c:v>Day5 </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'Pivot || anlysis'!$A$4:$A$12</c:f>
              <c:strCache>
                <c:ptCount val="8"/>
                <c:pt idx="0">
                  <c:v>Chennai</c:v>
                </c:pt>
                <c:pt idx="1">
                  <c:v>Delhi</c:v>
                </c:pt>
                <c:pt idx="2">
                  <c:v>Mumbai</c:v>
                </c:pt>
                <c:pt idx="3">
                  <c:v>Nagpur</c:v>
                </c:pt>
                <c:pt idx="4">
                  <c:v>Patna</c:v>
                </c:pt>
                <c:pt idx="5">
                  <c:v>Pune</c:v>
                </c:pt>
                <c:pt idx="6">
                  <c:v>Ranchi</c:v>
                </c:pt>
                <c:pt idx="7">
                  <c:v>Surat</c:v>
                </c:pt>
              </c:strCache>
            </c:strRef>
          </c:cat>
          <c:val>
            <c:numRef>
              <c:f>'Pivot || anlysis'!$F$4:$F$12</c:f>
              <c:numCache>
                <c:formatCode>General</c:formatCode>
                <c:ptCount val="8"/>
                <c:pt idx="0">
                  <c:v>896</c:v>
                </c:pt>
                <c:pt idx="1">
                  <c:v>878</c:v>
                </c:pt>
                <c:pt idx="2">
                  <c:v>899</c:v>
                </c:pt>
                <c:pt idx="3">
                  <c:v>962</c:v>
                </c:pt>
                <c:pt idx="4">
                  <c:v>982</c:v>
                </c:pt>
                <c:pt idx="5">
                  <c:v>1070</c:v>
                </c:pt>
                <c:pt idx="6">
                  <c:v>783</c:v>
                </c:pt>
                <c:pt idx="7">
                  <c:v>882</c:v>
                </c:pt>
              </c:numCache>
            </c:numRef>
          </c:val>
          <c:smooth val="0"/>
          <c:extLst>
            <c:ext xmlns:c16="http://schemas.microsoft.com/office/drawing/2014/chart" uri="{C3380CC4-5D6E-409C-BE32-E72D297353CC}">
              <c16:uniqueId val="{0000000F-C01B-4BF1-94AB-D671F168AE3E}"/>
            </c:ext>
          </c:extLst>
        </c:ser>
        <c:dLbls>
          <c:showLegendKey val="0"/>
          <c:showVal val="0"/>
          <c:showCatName val="0"/>
          <c:showSerName val="0"/>
          <c:showPercent val="0"/>
          <c:showBubbleSize val="0"/>
        </c:dLbls>
        <c:marker val="1"/>
        <c:smooth val="0"/>
        <c:axId val="536506872"/>
        <c:axId val="536507232"/>
      </c:lineChart>
      <c:catAx>
        <c:axId val="5365068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6507232"/>
        <c:crosses val="autoZero"/>
        <c:auto val="1"/>
        <c:lblAlgn val="ctr"/>
        <c:lblOffset val="100"/>
        <c:noMultiLvlLbl val="0"/>
      </c:catAx>
      <c:valAx>
        <c:axId val="5365072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650687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[1_project_micro.xlsm]Pivot || anlysis!PivotTable2</c:name>
    <c:fmtId val="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 anlysis'!$B$29</c:f>
              <c:strCache>
                <c:ptCount val="1"/>
                <c:pt idx="0">
                  <c:v>Total</c:v>
                </c:pt>
              </c:strCache>
            </c:strRef>
          </c:tx>
          <c:spPr>
            <a:solidFill>
              <a:schemeClr val="accent1"/>
            </a:solidFill>
            <a:ln>
              <a:noFill/>
            </a:ln>
            <a:effectLst/>
          </c:spPr>
          <c:invertIfNegative val="0"/>
          <c:cat>
            <c:strRef>
              <c:f>'Pivot || anlysis'!$A$30:$A$38</c:f>
              <c:strCache>
                <c:ptCount val="8"/>
                <c:pt idx="0">
                  <c:v>Chennai</c:v>
                </c:pt>
                <c:pt idx="1">
                  <c:v>Delhi</c:v>
                </c:pt>
                <c:pt idx="2">
                  <c:v>Mumbai</c:v>
                </c:pt>
                <c:pt idx="3">
                  <c:v>Nagpur</c:v>
                </c:pt>
                <c:pt idx="4">
                  <c:v>Patna</c:v>
                </c:pt>
                <c:pt idx="5">
                  <c:v>Pune</c:v>
                </c:pt>
                <c:pt idx="6">
                  <c:v>Ranchi</c:v>
                </c:pt>
                <c:pt idx="7">
                  <c:v>Surat</c:v>
                </c:pt>
              </c:strCache>
            </c:strRef>
          </c:cat>
          <c:val>
            <c:numRef>
              <c:f>'Pivot || anlysis'!$B$30:$B$38</c:f>
              <c:numCache>
                <c:formatCode>General</c:formatCode>
                <c:ptCount val="8"/>
                <c:pt idx="0">
                  <c:v>5063</c:v>
                </c:pt>
                <c:pt idx="1">
                  <c:v>4965</c:v>
                </c:pt>
                <c:pt idx="2">
                  <c:v>5197</c:v>
                </c:pt>
                <c:pt idx="3">
                  <c:v>5248</c:v>
                </c:pt>
                <c:pt idx="4">
                  <c:v>4597</c:v>
                </c:pt>
                <c:pt idx="5">
                  <c:v>5067</c:v>
                </c:pt>
                <c:pt idx="6">
                  <c:v>4296</c:v>
                </c:pt>
                <c:pt idx="7">
                  <c:v>4512</c:v>
                </c:pt>
              </c:numCache>
            </c:numRef>
          </c:val>
          <c:extLst>
            <c:ext xmlns:c16="http://schemas.microsoft.com/office/drawing/2014/chart" uri="{C3380CC4-5D6E-409C-BE32-E72D297353CC}">
              <c16:uniqueId val="{00000000-0668-48FD-9A75-6F5297433354}"/>
            </c:ext>
          </c:extLst>
        </c:ser>
        <c:dLbls>
          <c:showLegendKey val="0"/>
          <c:showVal val="0"/>
          <c:showCatName val="0"/>
          <c:showSerName val="0"/>
          <c:showPercent val="0"/>
          <c:showBubbleSize val="0"/>
        </c:dLbls>
        <c:gapWidth val="219"/>
        <c:overlap val="-27"/>
        <c:axId val="644150232"/>
        <c:axId val="644150592"/>
      </c:barChart>
      <c:catAx>
        <c:axId val="6441502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50592"/>
        <c:crosses val="autoZero"/>
        <c:auto val="1"/>
        <c:lblAlgn val="ctr"/>
        <c:lblOffset val="100"/>
        <c:noMultiLvlLbl val="0"/>
      </c:catAx>
      <c:valAx>
        <c:axId val="6441505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5023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[1_project_micro.xlsm]Pivot || anlysis!PivotTable4</c:name>
    <c:fmtId val="6"/>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3436439195100613"/>
          <c:y val="0.10819991251093615"/>
          <c:w val="0.48682677165354332"/>
          <c:h val="0.81137795275590552"/>
        </c:manualLayout>
      </c:layout>
      <c:barChart>
        <c:barDir val="col"/>
        <c:grouping val="clustered"/>
        <c:varyColors val="0"/>
        <c:ser>
          <c:idx val="0"/>
          <c:order val="0"/>
          <c:tx>
            <c:strRef>
              <c:f>'Pivot || anlysis'!$B$44</c:f>
              <c:strCache>
                <c:ptCount val="1"/>
                <c:pt idx="0">
                  <c:v>Target Hit % </c:v>
                </c:pt>
              </c:strCache>
            </c:strRef>
          </c:tx>
          <c:spPr>
            <a:solidFill>
              <a:schemeClr val="accent1"/>
            </a:solidFill>
            <a:ln>
              <a:noFill/>
            </a:ln>
            <a:effectLst/>
          </c:spPr>
          <c:invertIfNegative val="0"/>
          <c:cat>
            <c:strRef>
              <c:f>'Pivot || anlysis'!$A$45:$A$53</c:f>
              <c:strCache>
                <c:ptCount val="8"/>
                <c:pt idx="0">
                  <c:v>Chennai</c:v>
                </c:pt>
                <c:pt idx="1">
                  <c:v>Delhi</c:v>
                </c:pt>
                <c:pt idx="2">
                  <c:v>Mumbai</c:v>
                </c:pt>
                <c:pt idx="3">
                  <c:v>Nagpur</c:v>
                </c:pt>
                <c:pt idx="4">
                  <c:v>Patna</c:v>
                </c:pt>
                <c:pt idx="5">
                  <c:v>Pune</c:v>
                </c:pt>
                <c:pt idx="6">
                  <c:v>Ranchi</c:v>
                </c:pt>
                <c:pt idx="7">
                  <c:v>Surat</c:v>
                </c:pt>
              </c:strCache>
            </c:strRef>
          </c:cat>
          <c:val>
            <c:numRef>
              <c:f>'Pivot || anlysis'!$B$45:$B$53</c:f>
              <c:numCache>
                <c:formatCode>0.00%</c:formatCode>
                <c:ptCount val="8"/>
                <c:pt idx="0">
                  <c:v>0.1300038515855694</c:v>
                </c:pt>
                <c:pt idx="1">
                  <c:v>0.12748748234689949</c:v>
                </c:pt>
                <c:pt idx="2">
                  <c:v>0.13344460136089356</c:v>
                </c:pt>
                <c:pt idx="3">
                  <c:v>0.13475414045448711</c:v>
                </c:pt>
                <c:pt idx="4">
                  <c:v>0.11803825908332262</c:v>
                </c:pt>
                <c:pt idx="5">
                  <c:v>0.13010656053408651</c:v>
                </c:pt>
                <c:pt idx="6">
                  <c:v>0.11030941070740789</c:v>
                </c:pt>
                <c:pt idx="7">
                  <c:v>0.11585569392733343</c:v>
                </c:pt>
              </c:numCache>
            </c:numRef>
          </c:val>
          <c:extLst>
            <c:ext xmlns:c16="http://schemas.microsoft.com/office/drawing/2014/chart" uri="{C3380CC4-5D6E-409C-BE32-E72D297353CC}">
              <c16:uniqueId val="{00000000-0E93-40F7-B077-8D80D23503F2}"/>
            </c:ext>
          </c:extLst>
        </c:ser>
        <c:ser>
          <c:idx val="1"/>
          <c:order val="1"/>
          <c:tx>
            <c:strRef>
              <c:f>'Pivot || anlysis'!$C$44</c:f>
              <c:strCache>
                <c:ptCount val="1"/>
                <c:pt idx="0">
                  <c:v>Away From Target % </c:v>
                </c:pt>
              </c:strCache>
            </c:strRef>
          </c:tx>
          <c:spPr>
            <a:solidFill>
              <a:schemeClr val="accent2"/>
            </a:solidFill>
            <a:ln>
              <a:noFill/>
            </a:ln>
            <a:effectLst/>
          </c:spPr>
          <c:invertIfNegative val="0"/>
          <c:cat>
            <c:strRef>
              <c:f>'Pivot || anlysis'!$A$45:$A$53</c:f>
              <c:strCache>
                <c:ptCount val="8"/>
                <c:pt idx="0">
                  <c:v>Chennai</c:v>
                </c:pt>
                <c:pt idx="1">
                  <c:v>Delhi</c:v>
                </c:pt>
                <c:pt idx="2">
                  <c:v>Mumbai</c:v>
                </c:pt>
                <c:pt idx="3">
                  <c:v>Nagpur</c:v>
                </c:pt>
                <c:pt idx="4">
                  <c:v>Patna</c:v>
                </c:pt>
                <c:pt idx="5">
                  <c:v>Pune</c:v>
                </c:pt>
                <c:pt idx="6">
                  <c:v>Ranchi</c:v>
                </c:pt>
                <c:pt idx="7">
                  <c:v>Surat</c:v>
                </c:pt>
              </c:strCache>
            </c:strRef>
          </c:cat>
          <c:val>
            <c:numRef>
              <c:f>'Pivot || anlysis'!$C$45:$C$53</c:f>
              <c:numCache>
                <c:formatCode>0.00%</c:formatCode>
                <c:ptCount val="8"/>
                <c:pt idx="0">
                  <c:v>0.12476628109649819</c:v>
                </c:pt>
                <c:pt idx="1">
                  <c:v>0.12787196957692917</c:v>
                </c:pt>
                <c:pt idx="2">
                  <c:v>0.1205197274599905</c:v>
                </c:pt>
                <c:pt idx="3">
                  <c:v>0.11890350182221519</c:v>
                </c:pt>
                <c:pt idx="4">
                  <c:v>0.12368879733798128</c:v>
                </c:pt>
                <c:pt idx="5">
                  <c:v>0.12463951830137855</c:v>
                </c:pt>
                <c:pt idx="6">
                  <c:v>0.13322769767073364</c:v>
                </c:pt>
                <c:pt idx="7">
                  <c:v>0.12638250673427348</c:v>
                </c:pt>
              </c:numCache>
            </c:numRef>
          </c:val>
          <c:extLst>
            <c:ext xmlns:c16="http://schemas.microsoft.com/office/drawing/2014/chart" uri="{C3380CC4-5D6E-409C-BE32-E72D297353CC}">
              <c16:uniqueId val="{00000001-0E93-40F7-B077-8D80D23503F2}"/>
            </c:ext>
          </c:extLst>
        </c:ser>
        <c:dLbls>
          <c:showLegendKey val="0"/>
          <c:showVal val="0"/>
          <c:showCatName val="0"/>
          <c:showSerName val="0"/>
          <c:showPercent val="0"/>
          <c:showBubbleSize val="0"/>
        </c:dLbls>
        <c:gapWidth val="150"/>
        <c:axId val="644154912"/>
        <c:axId val="644156352"/>
      </c:barChart>
      <c:catAx>
        <c:axId val="6441549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56352"/>
        <c:crosses val="autoZero"/>
        <c:auto val="1"/>
        <c:lblAlgn val="ctr"/>
        <c:lblOffset val="100"/>
        <c:noMultiLvlLbl val="0"/>
      </c:catAx>
      <c:valAx>
        <c:axId val="6441563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549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[1_project_micro.xlsm]Sales || DashBoard!PivotTable1</c:name>
    <c:fmtId val="2"/>
  </c:pivotSource>
  <c:chart>
    <c:autoTitleDeleted val="1"/>
    <c:pivotFmts>
      <c:pivotFmt>
        <c:idx val="0"/>
        <c:spPr>
          <a:gradFill flip="none" rotWithShape="1">
            <a:gsLst>
              <a:gs pos="15000">
                <a:schemeClr val="accent6">
                  <a:lumMod val="60000"/>
                  <a:lumOff val="40000"/>
                </a:schemeClr>
              </a:gs>
              <a:gs pos="74000">
                <a:schemeClr val="accent4">
                  <a:lumMod val="45000"/>
                  <a:lumOff val="55000"/>
                </a:schemeClr>
              </a:gs>
              <a:gs pos="83000">
                <a:schemeClr val="accent4">
                  <a:lumMod val="45000"/>
                  <a:lumOff val="55000"/>
                </a:schemeClr>
              </a:gs>
              <a:gs pos="100000">
                <a:schemeClr val="accent4">
                  <a:lumMod val="30000"/>
                  <a:lumOff val="70000"/>
                </a:schemeClr>
              </a:gs>
            </a:gsLst>
            <a:path path="circle">
              <a:fillToRect l="100000" t="100000"/>
            </a:path>
            <a:tileRect r="-100000" b="-100000"/>
          </a:gradFill>
          <a:ln w="0">
            <a:noFill/>
            <a:prstDash val="dashDot"/>
            <a:round/>
          </a:ln>
          <a:effectLst/>
        </c:spPr>
        <c:marker>
          <c:symbol val="none"/>
        </c:marker>
        <c:dLbl>
          <c:idx val="0"/>
          <c:spPr>
            <a:gradFill>
              <a:gsLst>
                <a:gs pos="15000">
                  <a:schemeClr val="accent1">
                    <a:lumMod val="5000"/>
                    <a:lumOff val="95000"/>
                  </a:schemeClr>
                </a:gs>
                <a:gs pos="58000">
                  <a:schemeClr val="accent6">
                    <a:lumMod val="40000"/>
                    <a:lumOff val="60000"/>
                  </a:schemeClr>
                </a:gs>
                <a:gs pos="77000">
                  <a:schemeClr val="accent6">
                    <a:lumMod val="64000"/>
                    <a:lumOff val="36000"/>
                  </a:schemeClr>
                </a:gs>
                <a:gs pos="100000">
                  <a:schemeClr val="accent6">
                    <a:lumMod val="75000"/>
                  </a:schemeClr>
                </a:gs>
              </a:gsLst>
              <a:lin ang="5400000" scaled="1"/>
            </a:gra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6700015706480662"/>
          <c:y val="6.8802099737532804E-2"/>
          <c:w val="0.73209678630716679"/>
          <c:h val="0.8416746864975212"/>
        </c:manualLayout>
      </c:layout>
      <c:barChart>
        <c:barDir val="bar"/>
        <c:grouping val="clustered"/>
        <c:varyColors val="0"/>
        <c:ser>
          <c:idx val="0"/>
          <c:order val="0"/>
          <c:tx>
            <c:strRef>
              <c:f>'Sales || DashBoard'!$B$4</c:f>
              <c:strCache>
                <c:ptCount val="1"/>
                <c:pt idx="0">
                  <c:v>Total</c:v>
                </c:pt>
              </c:strCache>
            </c:strRef>
          </c:tx>
          <c:spPr>
            <a:gradFill flip="none" rotWithShape="1">
              <a:gsLst>
                <a:gs pos="15000">
                  <a:schemeClr val="accent6">
                    <a:lumMod val="60000"/>
                    <a:lumOff val="40000"/>
                  </a:schemeClr>
                </a:gs>
                <a:gs pos="74000">
                  <a:schemeClr val="accent4">
                    <a:lumMod val="45000"/>
                    <a:lumOff val="55000"/>
                  </a:schemeClr>
                </a:gs>
                <a:gs pos="83000">
                  <a:schemeClr val="accent4">
                    <a:lumMod val="45000"/>
                    <a:lumOff val="55000"/>
                  </a:schemeClr>
                </a:gs>
                <a:gs pos="100000">
                  <a:schemeClr val="accent4">
                    <a:lumMod val="30000"/>
                    <a:lumOff val="70000"/>
                  </a:schemeClr>
                </a:gs>
              </a:gsLst>
              <a:path path="circle">
                <a:fillToRect l="100000" t="100000"/>
              </a:path>
              <a:tileRect r="-100000" b="-100000"/>
            </a:gradFill>
            <a:ln w="0">
              <a:noFill/>
              <a:prstDash val="dashDot"/>
              <a:round/>
            </a:ln>
            <a:effectLst/>
          </c:spPr>
          <c:invertIfNegative val="0"/>
          <c:dLbls>
            <c:spPr>
              <a:gradFill>
                <a:gsLst>
                  <a:gs pos="15000">
                    <a:schemeClr val="accent1">
                      <a:lumMod val="5000"/>
                      <a:lumOff val="95000"/>
                    </a:schemeClr>
                  </a:gs>
                  <a:gs pos="58000">
                    <a:schemeClr val="accent6">
                      <a:lumMod val="40000"/>
                      <a:lumOff val="60000"/>
                    </a:schemeClr>
                  </a:gs>
                  <a:gs pos="77000">
                    <a:schemeClr val="accent6">
                      <a:lumMod val="64000"/>
                      <a:lumOff val="36000"/>
                    </a:schemeClr>
                  </a:gs>
                  <a:gs pos="100000">
                    <a:schemeClr val="accent6">
                      <a:lumMod val="75000"/>
                    </a:schemeClr>
                  </a:gs>
                </a:gsLst>
                <a:lin ang="5400000" scaled="1"/>
              </a:gra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'Sales || DashBoard'!$A$5:$A$9</c:f>
              <c:strCache>
                <c:ptCount val="5"/>
                <c:pt idx="0">
                  <c:v>Miny Mole</c:v>
                </c:pt>
                <c:pt idx="1">
                  <c:v>Surendra Kumar</c:v>
                </c:pt>
                <c:pt idx="2">
                  <c:v>Shailendra Barge</c:v>
                </c:pt>
                <c:pt idx="3">
                  <c:v>Kavita Sharma</c:v>
                </c:pt>
                <c:pt idx="4">
                  <c:v>Afzal Husain</c:v>
                </c:pt>
              </c:strCache>
            </c:strRef>
          </c:cat>
          <c:val>
            <c:numRef>
              <c:f>'Sales || DashBoard'!$B$5:$B$9</c:f>
              <c:numCache>
                <c:formatCode>General</c:formatCode>
                <c:ptCount val="5"/>
                <c:pt idx="0">
                  <c:v>384</c:v>
                </c:pt>
                <c:pt idx="1">
                  <c:v>376</c:v>
                </c:pt>
                <c:pt idx="2">
                  <c:v>324</c:v>
                </c:pt>
                <c:pt idx="3">
                  <c:v>318</c:v>
                </c:pt>
                <c:pt idx="4">
                  <c:v>316</c:v>
                </c:pt>
              </c:numCache>
            </c:numRef>
          </c:val>
          <c:extLst>
            <c:ext xmlns:c16="http://schemas.microsoft.com/office/drawing/2014/chart" uri="{C3380CC4-5D6E-409C-BE32-E72D297353CC}">
              <c16:uniqueId val="{00000000-4619-4F87-B880-03E4E81B0908}"/>
            </c:ext>
          </c:extLst>
        </c:ser>
        <c:dLbls>
          <c:showLegendKey val="0"/>
          <c:showVal val="0"/>
          <c:showCatName val="0"/>
          <c:showSerName val="0"/>
          <c:showPercent val="0"/>
          <c:showBubbleSize val="0"/>
        </c:dLbls>
        <c:gapWidth val="213"/>
        <c:axId val="455920208"/>
        <c:axId val="455921288"/>
      </c:barChart>
      <c:catAx>
        <c:axId val="455920208"/>
        <c:scaling>
          <c:orientation val="minMax"/>
        </c:scaling>
        <c:delete val="0"/>
        <c:axPos val="l"/>
        <c:numFmt formatCode="General" sourceLinked="1"/>
        <c:majorTickMark val="none"/>
        <c:minorTickMark val="none"/>
        <c:tickLblPos val="nextTo"/>
        <c:spPr>
          <a:noFill/>
          <a:ln w="9525" cap="flat" cmpd="sng" algn="ctr">
            <a:solidFill>
              <a:srgbClr val="00B050"/>
            </a:solidFill>
            <a:round/>
          </a:ln>
          <a:effectLst>
            <a:outerShdw blurRad="50800" dist="50800" dir="5400000" algn="ctr" rotWithShape="0">
              <a:srgbClr val="FED8D8"/>
            </a:outerShdw>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921288"/>
        <c:crosses val="autoZero"/>
        <c:auto val="1"/>
        <c:lblAlgn val="ctr"/>
        <c:lblOffset val="100"/>
        <c:noMultiLvlLbl val="0"/>
      </c:catAx>
      <c:valAx>
        <c:axId val="455921288"/>
        <c:scaling>
          <c:orientation val="minMax"/>
        </c:scaling>
        <c:delete val="1"/>
        <c:axPos val="b"/>
        <c:numFmt formatCode="General" sourceLinked="1"/>
        <c:majorTickMark val="none"/>
        <c:minorTickMark val="none"/>
        <c:tickLblPos val="nextTo"/>
        <c:crossAx val="4559202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a:outerShdw blurRad="50800" dist="50800" dir="2400000" algn="ctr" rotWithShape="0">
        <a:srgbClr val="000000">
          <a:alpha val="43137"/>
        </a:srgb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[1_project_micro.xlsm]Sales || DashBoard!PivotTable5</c:name>
    <c:fmtId val="1"/>
  </c:pivotSource>
  <c:chart>
    <c:autoTitleDeleted val="1"/>
    <c:pivotFmts>
      <c:pivotFmt>
        <c:idx val="0"/>
        <c:marker>
          <c:symbol val="none"/>
        </c:marker>
        <c:dLbl>
          <c:idx val="0"/>
          <c:spPr>
            <a:gradFill>
              <a:gsLst>
                <a:gs pos="15000">
                  <a:schemeClr val="accent6">
                    <a:lumMod val="60000"/>
                    <a:lumOff val="40000"/>
                    <a:alpha val="0"/>
                  </a:schemeClr>
                </a:gs>
                <a:gs pos="74000">
                  <a:schemeClr val="accent4">
                    <a:lumMod val="45000"/>
                    <a:lumOff val="55000"/>
                  </a:schemeClr>
                </a:gs>
                <a:gs pos="83000">
                  <a:schemeClr val="accent4">
                    <a:lumMod val="45000"/>
                    <a:lumOff val="55000"/>
                  </a:schemeClr>
                </a:gs>
                <a:gs pos="100000">
                  <a:schemeClr val="accent4">
                    <a:lumMod val="30000"/>
                    <a:lumOff val="70000"/>
                  </a:schemeClr>
                </a:gs>
              </a:gsLst>
              <a:path path="circle">
                <a:fillToRect l="100000" t="100000"/>
              </a:path>
            </a:gradFill>
            <a:ln w="15875">
              <a:solidFill>
                <a:srgbClr val="00B050"/>
              </a:solid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rgbClr val="002060"/>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tx2">
              <a:lumMod val="40000"/>
              <a:lumOff val="60000"/>
            </a:schemeClr>
          </a:solidFill>
          <a:ln>
            <a:noFill/>
          </a:ln>
          <a:effectLst>
            <a:outerShdw blurRad="254000" sx="102000" sy="102000" algn="ctr" rotWithShape="0">
              <a:prstClr val="black">
                <a:alpha val="20000"/>
              </a:prstClr>
            </a:outerShdw>
          </a:effectLst>
        </c:spPr>
        <c:dLbl>
          <c:idx val="0"/>
          <c:layout>
            <c:manualLayout>
              <c:x val="7.461399502717507E-2"/>
              <c:y val="5.977044965864535E-2"/>
            </c:manualLayout>
          </c:layout>
          <c:spPr>
            <a:gradFill>
              <a:gsLst>
                <a:gs pos="15000">
                  <a:schemeClr val="accent6">
                    <a:lumMod val="60000"/>
                    <a:lumOff val="40000"/>
                    <a:alpha val="0"/>
                  </a:schemeClr>
                </a:gs>
                <a:gs pos="74000">
                  <a:schemeClr val="accent4">
                    <a:lumMod val="45000"/>
                    <a:lumOff val="55000"/>
                  </a:schemeClr>
                </a:gs>
                <a:gs pos="83000">
                  <a:schemeClr val="accent4">
                    <a:lumMod val="45000"/>
                    <a:lumOff val="55000"/>
                  </a:schemeClr>
                </a:gs>
                <a:gs pos="100000">
                  <a:schemeClr val="accent4">
                    <a:lumMod val="30000"/>
                    <a:lumOff val="70000"/>
                  </a:schemeClr>
                </a:gs>
              </a:gsLst>
              <a:path path="circle">
                <a:fillToRect l="100000" t="100000"/>
              </a:path>
            </a:gradFill>
            <a:ln w="15875">
              <a:solidFill>
                <a:srgbClr val="00B050"/>
              </a:solidFill>
            </a:ln>
            <a:effectLst>
              <a:outerShdw blurRad="50800" dist="38100" dir="2700000" algn="tl" rotWithShape="0">
                <a:prstClr val="black">
                  <a:alpha val="40000"/>
                </a:prstClr>
              </a:outerShdw>
              <a:softEdge rad="12700"/>
            </a:effectLst>
          </c:spPr>
          <c:txPr>
            <a:bodyPr rot="0" spcFirstLastPara="1" vertOverflow="ellipsis" wrap="square" lIns="0" tIns="0" rIns="0" bIns="0" anchor="ctr" anchorCtr="1">
              <a:noAutofit/>
            </a:bodyPr>
            <a:lstStyle/>
            <a:p>
              <a:pPr>
                <a:defRPr sz="1000" b="1" i="0" u="none" strike="noStrike" kern="1200" baseline="0">
                  <a:solidFill>
                    <a:srgbClr val="002060"/>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rect">
                  <a:avLst/>
                </a:prstGeom>
              </c15:spPr>
              <c15:layout>
                <c:manualLayout>
                  <c:w val="0.39343056160012219"/>
                  <c:h val="0.19404828087266776"/>
                </c:manualLayout>
              </c15:layout>
            </c:ext>
          </c:extLst>
        </c:dLbl>
      </c:pivotFmt>
      <c:pivotFmt>
        <c:idx val="2"/>
        <c:spPr>
          <a:solidFill>
            <a:schemeClr val="accent4">
              <a:lumMod val="60000"/>
              <a:lumOff val="40000"/>
            </a:schemeClr>
          </a:solidFill>
          <a:ln>
            <a:noFill/>
          </a:ln>
          <a:effectLst>
            <a:outerShdw blurRad="254000" sx="102000" sy="102000" algn="ctr" rotWithShape="0">
              <a:prstClr val="black">
                <a:alpha val="20000"/>
              </a:prstClr>
            </a:outerShdw>
          </a:effectLst>
        </c:spPr>
        <c:dLbl>
          <c:idx val="0"/>
          <c:layout>
            <c:manualLayout>
              <c:x val="-5.739513750202814E-2"/>
              <c:y val="8.9655233271268855E-2"/>
            </c:manualLayout>
          </c:layout>
          <c:spPr>
            <a:gradFill>
              <a:gsLst>
                <a:gs pos="15000">
                  <a:schemeClr val="accent6">
                    <a:lumMod val="60000"/>
                    <a:lumOff val="40000"/>
                    <a:alpha val="0"/>
                  </a:schemeClr>
                </a:gs>
                <a:gs pos="74000">
                  <a:schemeClr val="accent4">
                    <a:lumMod val="45000"/>
                    <a:lumOff val="55000"/>
                  </a:schemeClr>
                </a:gs>
                <a:gs pos="83000">
                  <a:schemeClr val="accent4">
                    <a:lumMod val="45000"/>
                    <a:lumOff val="55000"/>
                  </a:schemeClr>
                </a:gs>
                <a:gs pos="100000">
                  <a:schemeClr val="accent4">
                    <a:lumMod val="30000"/>
                    <a:lumOff val="70000"/>
                  </a:schemeClr>
                </a:gs>
              </a:gsLst>
              <a:lin ang="5400000" scaled="1"/>
            </a:gradFill>
            <a:ln w="15875">
              <a:solidFill>
                <a:srgbClr val="00B050"/>
              </a:solidFill>
            </a:ln>
            <a:effectLst>
              <a:outerShdw blurRad="50800" dist="38100" dir="2700000" algn="tl" rotWithShape="0">
                <a:prstClr val="black">
                  <a:alpha val="40000"/>
                </a:prstClr>
              </a:outerShdw>
              <a:softEdge rad="12700"/>
            </a:effectLst>
          </c:spPr>
          <c:txPr>
            <a:bodyPr rot="0" spcFirstLastPara="1" vertOverflow="ellipsis" wrap="square" lIns="0" tIns="0" rIns="0" bIns="0" anchor="ctr" anchorCtr="1">
              <a:noAutofit/>
            </a:bodyPr>
            <a:lstStyle/>
            <a:p>
              <a:pPr>
                <a:defRPr sz="1000" b="1" i="0" u="none" strike="noStrike" kern="1200" baseline="0">
                  <a:solidFill>
                    <a:srgbClr val="002060"/>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rect">
                  <a:avLst/>
                </a:prstGeom>
              </c15:spPr>
              <c15:layout>
                <c:manualLayout>
                  <c:w val="0.26561023459245608"/>
                  <c:h val="0.20899081975121261"/>
                </c:manualLayout>
              </c15:layout>
            </c:ext>
          </c:extLst>
        </c:dLbl>
      </c:pivotFmt>
      <c:pivotFmt>
        <c:idx val="3"/>
        <c:spPr>
          <a:solidFill>
            <a:schemeClr val="accent5">
              <a:lumMod val="40000"/>
              <a:lumOff val="60000"/>
            </a:schemeClr>
          </a:solidFill>
          <a:ln>
            <a:noFill/>
          </a:ln>
          <a:effectLst>
            <a:outerShdw blurRad="254000" sx="102000" sy="102000" algn="ctr" rotWithShape="0">
              <a:prstClr val="black">
                <a:alpha val="20000"/>
              </a:prstClr>
            </a:outerShdw>
          </a:effectLst>
        </c:spPr>
        <c:dLbl>
          <c:idx val="0"/>
          <c:layout>
            <c:manualLayout>
              <c:x val="-1.8474003392188312E-2"/>
              <c:y val="-0.10459806629427984"/>
            </c:manualLayout>
          </c:layout>
          <c:spPr>
            <a:gradFill>
              <a:gsLst>
                <a:gs pos="15000">
                  <a:schemeClr val="accent6">
                    <a:lumMod val="60000"/>
                    <a:lumOff val="40000"/>
                    <a:alpha val="0"/>
                  </a:schemeClr>
                </a:gs>
                <a:gs pos="74000">
                  <a:schemeClr val="accent4">
                    <a:lumMod val="45000"/>
                    <a:lumOff val="55000"/>
                  </a:schemeClr>
                </a:gs>
                <a:gs pos="83000">
                  <a:schemeClr val="accent4">
                    <a:lumMod val="45000"/>
                    <a:lumOff val="55000"/>
                  </a:schemeClr>
                </a:gs>
                <a:gs pos="100000">
                  <a:schemeClr val="accent4">
                    <a:lumMod val="30000"/>
                    <a:lumOff val="70000"/>
                  </a:schemeClr>
                </a:gs>
              </a:gsLst>
              <a:lin ang="5400000" scaled="1"/>
            </a:gradFill>
            <a:ln w="15875">
              <a:solidFill>
                <a:srgbClr val="00B050"/>
              </a:solidFill>
            </a:ln>
            <a:effectLst>
              <a:outerShdw blurRad="50800" dist="38100" dir="2700000" algn="tl" rotWithShape="0">
                <a:prstClr val="black">
                  <a:alpha val="40000"/>
                </a:prstClr>
              </a:outerShdw>
              <a:softEdge rad="12700"/>
            </a:effectLst>
          </c:spPr>
          <c:txPr>
            <a:bodyPr rot="0" spcFirstLastPara="1" vertOverflow="ellipsis" wrap="square" lIns="0" tIns="0" rIns="0" bIns="0" anchor="ctr" anchorCtr="1">
              <a:noAutofit/>
            </a:bodyPr>
            <a:lstStyle/>
            <a:p>
              <a:pPr>
                <a:defRPr sz="1000" b="1" i="0" u="none" strike="noStrike" kern="1200" baseline="0">
                  <a:solidFill>
                    <a:srgbClr val="002060"/>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rect">
                  <a:avLst/>
                </a:prstGeom>
              </c15:spPr>
              <c15:layout>
                <c:manualLayout>
                  <c:w val="0.3531039245168075"/>
                  <c:h val="0.19404828087266776"/>
                </c:manualLayout>
              </c15:layout>
            </c:ext>
          </c:extLst>
        </c:dLbl>
      </c:pivotFmt>
      <c:pivotFmt>
        <c:idx val="4"/>
        <c:spPr>
          <a:solidFill>
            <a:schemeClr val="tx1">
              <a:lumMod val="65000"/>
              <a:lumOff val="35000"/>
            </a:schemeClr>
          </a:solidFill>
          <a:ln>
            <a:noFill/>
          </a:ln>
          <a:effectLst>
            <a:outerShdw blurRad="254000" sx="102000" sy="102000" algn="ctr" rotWithShape="0">
              <a:prstClr val="black">
                <a:alpha val="20000"/>
              </a:prstClr>
            </a:outerShdw>
          </a:effectLst>
        </c:spPr>
        <c:dLbl>
          <c:idx val="0"/>
          <c:layout>
            <c:manualLayout>
              <c:x val="8.6092706253042047E-3"/>
              <c:y val="-7.8448329112360313E-2"/>
            </c:manualLayout>
          </c:layout>
          <c:spPr>
            <a:gradFill>
              <a:gsLst>
                <a:gs pos="15000">
                  <a:schemeClr val="accent6">
                    <a:lumMod val="60000"/>
                    <a:lumOff val="40000"/>
                    <a:alpha val="0"/>
                  </a:schemeClr>
                </a:gs>
                <a:gs pos="74000">
                  <a:schemeClr val="accent4">
                    <a:lumMod val="45000"/>
                    <a:lumOff val="55000"/>
                  </a:schemeClr>
                </a:gs>
                <a:gs pos="83000">
                  <a:schemeClr val="accent4">
                    <a:lumMod val="45000"/>
                    <a:lumOff val="55000"/>
                  </a:schemeClr>
                </a:gs>
                <a:gs pos="100000">
                  <a:schemeClr val="accent4">
                    <a:lumMod val="30000"/>
                    <a:lumOff val="70000"/>
                  </a:schemeClr>
                </a:gs>
              </a:gsLst>
              <a:lin ang="5400000" scaled="1"/>
            </a:gradFill>
            <a:ln w="15875">
              <a:solidFill>
                <a:srgbClr val="00B050"/>
              </a:solidFill>
            </a:ln>
            <a:effectLst>
              <a:outerShdw blurRad="50800" dist="38100" dir="2700000" algn="tl" rotWithShape="0">
                <a:prstClr val="black">
                  <a:alpha val="40000"/>
                </a:prstClr>
              </a:outerShdw>
              <a:softEdge rad="12700"/>
            </a:effectLst>
          </c:spPr>
          <c:txPr>
            <a:bodyPr rot="0" spcFirstLastPara="1" vertOverflow="ellipsis" wrap="square" lIns="0" tIns="0" rIns="0" bIns="0" anchor="ctr" anchorCtr="1">
              <a:noAutofit/>
            </a:bodyPr>
            <a:lstStyle/>
            <a:p>
              <a:pPr>
                <a:defRPr sz="1000" b="1" i="0" u="none" strike="noStrike" kern="1200" baseline="0">
                  <a:solidFill>
                    <a:srgbClr val="002060"/>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rect">
                  <a:avLst/>
                </a:prstGeom>
              </c15:spPr>
              <c15:layout>
                <c:manualLayout>
                  <c:w val="0.26870143727366769"/>
                  <c:h val="0.20899081975121261"/>
                </c:manualLayout>
              </c15:layout>
            </c:ext>
          </c:extLst>
        </c:dLbl>
      </c:pivotFmt>
      <c:pivotFmt>
        <c:idx val="5"/>
        <c:spPr>
          <a:solidFill>
            <a:schemeClr val="accent5">
              <a:lumMod val="75000"/>
            </a:schemeClr>
          </a:solidFill>
          <a:ln>
            <a:noFill/>
          </a:ln>
          <a:effectLst>
            <a:outerShdw blurRad="254000" sx="102000" sy="102000" algn="ctr" rotWithShape="0">
              <a:prstClr val="black">
                <a:alpha val="20000"/>
              </a:prstClr>
            </a:outerShdw>
          </a:effectLst>
        </c:spPr>
        <c:dLbl>
          <c:idx val="0"/>
          <c:layout>
            <c:manualLayout>
              <c:x val="-7.3562224341374688E-2"/>
              <c:y val="-5.1371008608069408E-3"/>
            </c:manualLayout>
          </c:layout>
          <c:spPr>
            <a:gradFill>
              <a:gsLst>
                <a:gs pos="15000">
                  <a:schemeClr val="accent6">
                    <a:lumMod val="60000"/>
                    <a:lumOff val="40000"/>
                    <a:alpha val="0"/>
                  </a:schemeClr>
                </a:gs>
                <a:gs pos="74000">
                  <a:schemeClr val="accent4">
                    <a:lumMod val="45000"/>
                    <a:lumOff val="55000"/>
                  </a:schemeClr>
                </a:gs>
                <a:gs pos="83000">
                  <a:schemeClr val="accent4">
                    <a:lumMod val="45000"/>
                    <a:lumOff val="55000"/>
                  </a:schemeClr>
                </a:gs>
                <a:gs pos="100000">
                  <a:schemeClr val="accent4">
                    <a:lumMod val="30000"/>
                    <a:lumOff val="70000"/>
                  </a:schemeClr>
                </a:gs>
              </a:gsLst>
              <a:path path="circle">
                <a:fillToRect l="100000" t="100000"/>
              </a:path>
            </a:gradFill>
            <a:ln w="15875">
              <a:solidFill>
                <a:srgbClr val="00B050"/>
              </a:solid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noAutofit/>
            </a:bodyPr>
            <a:lstStyle/>
            <a:p>
              <a:pPr>
                <a:defRPr sz="1000" b="1" i="0" u="none" strike="noStrike" kern="1200" baseline="0">
                  <a:solidFill>
                    <a:srgbClr val="002060"/>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layout>
                <c:manualLayout>
                  <c:w val="0.29670655744875529"/>
                  <c:h val="0.20938281305807557"/>
                </c:manualLayout>
              </c15:layout>
            </c:ext>
          </c:extLst>
        </c:dLbl>
      </c:pivotFmt>
    </c:pivotFmts>
    <c:plotArea>
      <c:layout>
        <c:manualLayout>
          <c:layoutTarget val="inner"/>
          <c:xMode val="edge"/>
          <c:yMode val="edge"/>
          <c:x val="0.12848289142479083"/>
          <c:y val="6.994603090222002E-3"/>
          <c:w val="0.74739904527600021"/>
          <c:h val="0.98566698639793826"/>
        </c:manualLayout>
      </c:layout>
      <c:pieChart>
        <c:varyColors val="1"/>
        <c:ser>
          <c:idx val="0"/>
          <c:order val="0"/>
          <c:tx>
            <c:strRef>
              <c:f>'Sales || DashBoard'!$H$4</c:f>
              <c:strCache>
                <c:ptCount val="1"/>
                <c:pt idx="0">
                  <c:v>Total</c:v>
                </c:pt>
              </c:strCache>
            </c:strRef>
          </c:tx>
          <c:dPt>
            <c:idx val="0"/>
            <c:bubble3D val="0"/>
            <c:extLst>
              <c:ext xmlns:c16="http://schemas.microsoft.com/office/drawing/2014/chart" uri="{C3380CC4-5D6E-409C-BE32-E72D297353CC}">
                <c16:uniqueId val="{00000003-6C71-44E9-9E89-6738478A719A}"/>
              </c:ext>
            </c:extLst>
          </c:dPt>
          <c:dPt>
            <c:idx val="1"/>
            <c:bubble3D val="0"/>
            <c:extLst>
              <c:ext xmlns:c16="http://schemas.microsoft.com/office/drawing/2014/chart" uri="{C3380CC4-5D6E-409C-BE32-E72D297353CC}">
                <c16:uniqueId val="{00000004-6C71-44E9-9E89-6738478A719A}"/>
              </c:ext>
            </c:extLst>
          </c:dPt>
          <c:dPt>
            <c:idx val="2"/>
            <c:bubble3D val="0"/>
            <c:spPr>
              <a:solidFill>
                <a:schemeClr val="tx1">
                  <a:lumMod val="65000"/>
                  <a:lumOff val="35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6-6C71-44E9-9E89-6738478A719A}"/>
              </c:ext>
            </c:extLst>
          </c:dPt>
          <c:dPt>
            <c:idx val="3"/>
            <c:bubble3D val="0"/>
            <c:extLst>
              <c:ext xmlns:c16="http://schemas.microsoft.com/office/drawing/2014/chart" uri="{C3380CC4-5D6E-409C-BE32-E72D297353CC}">
                <c16:uniqueId val="{00000005-6C71-44E9-9E89-6738478A719A}"/>
              </c:ext>
            </c:extLst>
          </c:dPt>
          <c:dPt>
            <c:idx val="4"/>
            <c:bubble3D val="0"/>
            <c:extLst>
              <c:ext xmlns:c16="http://schemas.microsoft.com/office/drawing/2014/chart" uri="{C3380CC4-5D6E-409C-BE32-E72D297353CC}">
                <c16:uniqueId val="{00000002-6C71-44E9-9E89-6738478A719A}"/>
              </c:ext>
            </c:extLst>
          </c:dPt>
          <c:dLbls>
            <c:dLbl>
              <c:idx val="2"/>
              <c:layout>
                <c:manualLayout>
                  <c:x val="8.6092706253042047E-3"/>
                  <c:y val="-7.8448329112360313E-2"/>
                </c:manualLayout>
              </c:layout>
              <c:spPr>
                <a:gradFill>
                  <a:gsLst>
                    <a:gs pos="15000">
                      <a:schemeClr val="accent6">
                        <a:lumMod val="60000"/>
                        <a:lumOff val="40000"/>
                        <a:alpha val="0"/>
                      </a:schemeClr>
                    </a:gs>
                    <a:gs pos="74000">
                      <a:schemeClr val="accent4">
                        <a:lumMod val="45000"/>
                        <a:lumOff val="55000"/>
                      </a:schemeClr>
                    </a:gs>
                    <a:gs pos="83000">
                      <a:schemeClr val="accent4">
                        <a:lumMod val="45000"/>
                        <a:lumOff val="55000"/>
                      </a:schemeClr>
                    </a:gs>
                    <a:gs pos="100000">
                      <a:schemeClr val="accent4">
                        <a:lumMod val="30000"/>
                        <a:lumOff val="70000"/>
                      </a:schemeClr>
                    </a:gs>
                  </a:gsLst>
                  <a:lin ang="5400000" scaled="1"/>
                </a:gradFill>
                <a:ln w="15875">
                  <a:solidFill>
                    <a:srgbClr val="00B050"/>
                  </a:solidFill>
                </a:ln>
                <a:effectLst>
                  <a:outerShdw blurRad="50800" dist="38100" dir="2700000" algn="tl" rotWithShape="0">
                    <a:prstClr val="black">
                      <a:alpha val="40000"/>
                    </a:prstClr>
                  </a:outerShdw>
                  <a:softEdge rad="12700"/>
                </a:effectLst>
              </c:spPr>
              <c:txPr>
                <a:bodyPr rot="0" spcFirstLastPara="1" vertOverflow="ellipsis" wrap="square" lIns="0" tIns="0" rIns="0" bIns="0" anchor="ctr" anchorCtr="1">
                  <a:noAutofit/>
                </a:bodyPr>
                <a:lstStyle/>
                <a:p>
                  <a:pPr>
                    <a:defRPr sz="1000" b="1" i="0" u="none" strike="noStrike" kern="1200" baseline="0">
                      <a:solidFill>
                        <a:srgbClr val="002060"/>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rect">
                      <a:avLst/>
                    </a:prstGeom>
                  </c15:spPr>
                  <c15:layout>
                    <c:manualLayout>
                      <c:w val="0.26870143727366769"/>
                      <c:h val="0.20899081975121261"/>
                    </c:manualLayout>
                  </c15:layout>
                </c:ext>
                <c:ext xmlns:c16="http://schemas.microsoft.com/office/drawing/2014/chart" uri="{C3380CC4-5D6E-409C-BE32-E72D297353CC}">
                  <c16:uniqueId val="{00000006-6C71-44E9-9E89-6738478A719A}"/>
                </c:ext>
              </c:extLst>
            </c:dLbl>
            <c:spPr>
              <a:gradFill>
                <a:gsLst>
                  <a:gs pos="15000">
                    <a:schemeClr val="accent6">
                      <a:lumMod val="60000"/>
                      <a:lumOff val="40000"/>
                      <a:alpha val="0"/>
                    </a:schemeClr>
                  </a:gs>
                  <a:gs pos="74000">
                    <a:schemeClr val="accent4">
                      <a:lumMod val="45000"/>
                      <a:lumOff val="55000"/>
                    </a:schemeClr>
                  </a:gs>
                  <a:gs pos="83000">
                    <a:schemeClr val="accent4">
                      <a:lumMod val="45000"/>
                      <a:lumOff val="55000"/>
                    </a:schemeClr>
                  </a:gs>
                  <a:gs pos="100000">
                    <a:schemeClr val="accent4">
                      <a:lumMod val="30000"/>
                      <a:lumOff val="70000"/>
                    </a:schemeClr>
                  </a:gs>
                </a:gsLst>
                <a:path path="circle">
                  <a:fillToRect l="100000" t="100000"/>
                </a:path>
              </a:gradFill>
              <a:ln w="15875">
                <a:solidFill>
                  <a:srgbClr val="00B050"/>
                </a:solid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rgbClr val="002060"/>
                    </a:solidFill>
                    <a:latin typeface="+mn-lt"/>
                    <a:ea typeface="+mn-ea"/>
                    <a:cs typeface="+mn-cs"/>
                  </a:defRPr>
                </a:pPr>
                <a:endParaRPr lang="en-US"/>
              </a:p>
            </c:txPr>
            <c:dLblPos val="outEnd"/>
            <c:showLegendKey val="0"/>
            <c:showVal val="0"/>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'Sales || DashBoard'!$G$5:$G$9</c:f>
              <c:strCache>
                <c:ptCount val="5"/>
                <c:pt idx="0">
                  <c:v>Afzal Husain</c:v>
                </c:pt>
                <c:pt idx="1">
                  <c:v>Kavita Sharma</c:v>
                </c:pt>
                <c:pt idx="2">
                  <c:v>Miny Mole</c:v>
                </c:pt>
                <c:pt idx="3">
                  <c:v>Shailendra Barge</c:v>
                </c:pt>
                <c:pt idx="4">
                  <c:v>Surendra Kumar</c:v>
                </c:pt>
              </c:strCache>
            </c:strRef>
          </c:cat>
          <c:val>
            <c:numRef>
              <c:f>'Sales || DashBoard'!$H$5:$H$9</c:f>
              <c:numCache>
                <c:formatCode>0.00%</c:formatCode>
                <c:ptCount val="5"/>
                <c:pt idx="0">
                  <c:v>0.63200000000000001</c:v>
                </c:pt>
                <c:pt idx="1">
                  <c:v>0.63600000000000001</c:v>
                </c:pt>
                <c:pt idx="2">
                  <c:v>0.76800000000000002</c:v>
                </c:pt>
                <c:pt idx="3">
                  <c:v>0.64800000000000002</c:v>
                </c:pt>
                <c:pt idx="4">
                  <c:v>0.752</c:v>
                </c:pt>
              </c:numCache>
            </c:numRef>
          </c:val>
          <c:extLst>
            <c:ext xmlns:c16="http://schemas.microsoft.com/office/drawing/2014/chart" uri="{C3380CC4-5D6E-409C-BE32-E72D297353CC}">
              <c16:uniqueId val="{00000000-6C71-44E9-9E89-6738478A719A}"/>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rnd" cmpd="tri" algn="ctr">
      <a:noFill/>
      <a:round/>
    </a:ln>
    <a:effectLst>
      <a:outerShdw blurRad="50800" dist="50800" dir="2400000" algn="ctr" rotWithShape="0">
        <a:srgbClr val="000000">
          <a:alpha val="43137"/>
        </a:srgb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[1_project_micro.xlsm]Sales || DashBoard!PivotTable6</c:name>
    <c:fmtId val="8"/>
  </c:pivotSource>
  <c:chart>
    <c:autoTitleDeleted val="1"/>
    <c:pivotFmts>
      <c:pivotFmt>
        <c:idx val="0"/>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1138257654928746E-3"/>
          <c:y val="4.1237113402061855E-2"/>
          <c:w val="0.99092495113229095"/>
          <c:h val="0.74444462483426688"/>
        </c:manualLayout>
      </c:layout>
      <c:lineChart>
        <c:grouping val="standard"/>
        <c:varyColors val="0"/>
        <c:ser>
          <c:idx val="0"/>
          <c:order val="0"/>
          <c:tx>
            <c:strRef>
              <c:f>'Sales || DashBoard'!$K$4</c:f>
              <c:strCache>
                <c:ptCount val="1"/>
                <c:pt idx="0">
                  <c:v>Total</c:v>
                </c:pt>
              </c:strCache>
            </c:strRef>
          </c:tx>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'Sales || DashBoard'!$J$5:$J$9</c:f>
              <c:strCache>
                <c:ptCount val="5"/>
                <c:pt idx="0">
                  <c:v>Atul Kumar</c:v>
                </c:pt>
                <c:pt idx="1">
                  <c:v>John D'Costa</c:v>
                </c:pt>
                <c:pt idx="2">
                  <c:v>Rakhi Jodhani</c:v>
                </c:pt>
                <c:pt idx="3">
                  <c:v>Rekha Jain </c:v>
                </c:pt>
                <c:pt idx="4">
                  <c:v>Salim</c:v>
                </c:pt>
              </c:strCache>
            </c:strRef>
          </c:cat>
          <c:val>
            <c:numRef>
              <c:f>'Sales || DashBoard'!$K$5:$K$9</c:f>
              <c:numCache>
                <c:formatCode>0.00%</c:formatCode>
                <c:ptCount val="5"/>
                <c:pt idx="0">
                  <c:v>0.51</c:v>
                </c:pt>
                <c:pt idx="1">
                  <c:v>0.57800000000000007</c:v>
                </c:pt>
                <c:pt idx="2">
                  <c:v>0.502</c:v>
                </c:pt>
                <c:pt idx="3">
                  <c:v>0.57400000000000007</c:v>
                </c:pt>
                <c:pt idx="4">
                  <c:v>0.57200000000000006</c:v>
                </c:pt>
              </c:numCache>
            </c:numRef>
          </c:val>
          <c:smooth val="0"/>
          <c:extLst>
            <c:ext xmlns:c16="http://schemas.microsoft.com/office/drawing/2014/chart" uri="{C3380CC4-5D6E-409C-BE32-E72D297353CC}">
              <c16:uniqueId val="{00000000-1138-43A2-B3C3-2FDC47B7A4F0}"/>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509980704"/>
        <c:axId val="509978184"/>
      </c:lineChart>
      <c:catAx>
        <c:axId val="509980704"/>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a:outerShdw blurRad="50800" dist="50800" dir="5400000" algn="ctr" rotWithShape="0">
              <a:srgbClr val="FED8D8"/>
            </a:outerShdw>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509978184"/>
        <c:crosses val="autoZero"/>
        <c:auto val="1"/>
        <c:lblAlgn val="ctr"/>
        <c:lblOffset val="100"/>
        <c:noMultiLvlLbl val="0"/>
      </c:catAx>
      <c:valAx>
        <c:axId val="509978184"/>
        <c:scaling>
          <c:orientation val="minMax"/>
        </c:scaling>
        <c:delete val="1"/>
        <c:axPos val="l"/>
        <c:numFmt formatCode="0.00%" sourceLinked="1"/>
        <c:majorTickMark val="none"/>
        <c:minorTickMark val="none"/>
        <c:tickLblPos val="nextTo"/>
        <c:crossAx val="509980704"/>
        <c:crosses val="autoZero"/>
        <c:crossBetween val="between"/>
      </c:valAx>
      <c:spPr>
        <a:gradFill>
          <a:gsLst>
            <a:gs pos="100000">
              <a:schemeClr val="lt1">
                <a:lumMod val="95000"/>
              </a:schemeClr>
            </a:gs>
            <a:gs pos="0">
              <a:schemeClr val="lt1"/>
            </a:gs>
          </a:gsLst>
          <a:lin ang="5400000" scaled="0"/>
        </a:gra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dk1">
          <a:lumMod val="15000"/>
          <a:lumOff val="85000"/>
        </a:schemeClr>
      </a:solidFill>
      <a:round/>
    </a:ln>
    <a:effectLst>
      <a:outerShdw blurRad="50800" dist="50800" dir="2400000" algn="ctr" rotWithShape="0">
        <a:srgbClr val="000000">
          <a:alpha val="43137"/>
        </a:srgb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[1_project_micro.xlsm]Sales || DashBoard!PivotTable4</c:name>
    <c:fmtId val="11"/>
  </c:pivotSource>
  <c:chart>
    <c:autoTitleDeleted val="1"/>
    <c:pivotFmts>
      <c:pivotFmt>
        <c:idx val="0"/>
        <c:spPr>
          <a:gradFill>
            <a:gsLst>
              <a:gs pos="0">
                <a:schemeClr val="accent4">
                  <a:lumMod val="75000"/>
                </a:schemeClr>
              </a:gs>
              <a:gs pos="41000">
                <a:schemeClr val="accent4">
                  <a:lumMod val="60000"/>
                  <a:lumOff val="40000"/>
                </a:schemeClr>
              </a:gs>
              <a:gs pos="72000">
                <a:schemeClr val="accent6">
                  <a:lumMod val="60000"/>
                  <a:lumOff val="40000"/>
                </a:schemeClr>
              </a:gs>
              <a:gs pos="100000">
                <a:schemeClr val="accent6">
                  <a:lumMod val="75000"/>
                </a:schemeClr>
              </a:gs>
            </a:gsLst>
            <a:lin ang="5400000" scaled="1"/>
          </a:gradFill>
          <a:ln>
            <a:noFill/>
          </a:ln>
          <a:effectLst/>
        </c:spPr>
        <c:marker>
          <c:symbol val="none"/>
        </c:marker>
        <c:dLbl>
          <c:idx val="0"/>
          <c:spPr>
            <a:gradFill>
              <a:gsLst>
                <a:gs pos="0">
                  <a:schemeClr val="accent6">
                    <a:lumMod val="0"/>
                    <a:lumOff val="100000"/>
                  </a:schemeClr>
                </a:gs>
                <a:gs pos="65000">
                  <a:schemeClr val="accent6">
                    <a:lumMod val="60000"/>
                    <a:lumOff val="40000"/>
                  </a:schemeClr>
                </a:gs>
                <a:gs pos="86000">
                  <a:schemeClr val="accent6">
                    <a:lumMod val="75000"/>
                  </a:schemeClr>
                </a:gs>
                <a:gs pos="100000">
                  <a:srgbClr val="002060"/>
                </a:gs>
              </a:gsLst>
              <a:lin ang="5400000" scaled="1"/>
            </a:gradFill>
            <a:ln>
              <a:no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rgbClr val="00206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oundRect">
                  <a:avLst/>
                </a:prstGeom>
                <a:noFill/>
                <a:ln>
                  <a:noFill/>
                </a:ln>
              </c15:spPr>
            </c:ext>
          </c:extLst>
        </c:dLbl>
      </c:pivotFmt>
    </c:pivotFmts>
    <c:plotArea>
      <c:layout/>
      <c:barChart>
        <c:barDir val="col"/>
        <c:grouping val="clustered"/>
        <c:varyColors val="0"/>
        <c:ser>
          <c:idx val="0"/>
          <c:order val="0"/>
          <c:tx>
            <c:strRef>
              <c:f>'Sales || DashBoard'!$E$4</c:f>
              <c:strCache>
                <c:ptCount val="1"/>
                <c:pt idx="0">
                  <c:v>Total</c:v>
                </c:pt>
              </c:strCache>
            </c:strRef>
          </c:tx>
          <c:spPr>
            <a:gradFill>
              <a:gsLst>
                <a:gs pos="0">
                  <a:schemeClr val="accent4">
                    <a:lumMod val="75000"/>
                  </a:schemeClr>
                </a:gs>
                <a:gs pos="41000">
                  <a:schemeClr val="accent4">
                    <a:lumMod val="60000"/>
                    <a:lumOff val="40000"/>
                  </a:schemeClr>
                </a:gs>
                <a:gs pos="72000">
                  <a:schemeClr val="accent6">
                    <a:lumMod val="60000"/>
                    <a:lumOff val="40000"/>
                  </a:schemeClr>
                </a:gs>
                <a:gs pos="100000">
                  <a:schemeClr val="accent6">
                    <a:lumMod val="75000"/>
                  </a:schemeClr>
                </a:gs>
              </a:gsLst>
              <a:lin ang="5400000" scaled="1"/>
            </a:gradFill>
            <a:ln>
              <a:noFill/>
            </a:ln>
            <a:effectLst/>
          </c:spPr>
          <c:invertIfNegative val="0"/>
          <c:dLbls>
            <c:spPr>
              <a:gradFill>
                <a:gsLst>
                  <a:gs pos="0">
                    <a:schemeClr val="accent6">
                      <a:lumMod val="0"/>
                      <a:lumOff val="100000"/>
                    </a:schemeClr>
                  </a:gs>
                  <a:gs pos="65000">
                    <a:schemeClr val="accent6">
                      <a:lumMod val="60000"/>
                      <a:lumOff val="40000"/>
                    </a:schemeClr>
                  </a:gs>
                  <a:gs pos="86000">
                    <a:schemeClr val="accent6">
                      <a:lumMod val="75000"/>
                    </a:schemeClr>
                  </a:gs>
                  <a:gs pos="100000">
                    <a:srgbClr val="002060"/>
                  </a:gs>
                </a:gsLst>
                <a:lin ang="5400000" scaled="1"/>
              </a:gradFill>
              <a:ln>
                <a:no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rgbClr val="00206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oundRec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'Sales || DashBoard'!$D$5:$D$9</c:f>
              <c:strCache>
                <c:ptCount val="5"/>
                <c:pt idx="0">
                  <c:v>Rakhi Jodhani</c:v>
                </c:pt>
                <c:pt idx="1">
                  <c:v>Atul Kumar</c:v>
                </c:pt>
                <c:pt idx="2">
                  <c:v>Salim</c:v>
                </c:pt>
                <c:pt idx="3">
                  <c:v>Rekha Jain </c:v>
                </c:pt>
                <c:pt idx="4">
                  <c:v>John D'Costa</c:v>
                </c:pt>
              </c:strCache>
            </c:strRef>
          </c:cat>
          <c:val>
            <c:numRef>
              <c:f>'Sales || DashBoard'!$E$5:$E$9</c:f>
              <c:numCache>
                <c:formatCode>General</c:formatCode>
                <c:ptCount val="5"/>
                <c:pt idx="0">
                  <c:v>249</c:v>
                </c:pt>
                <c:pt idx="1">
                  <c:v>245</c:v>
                </c:pt>
                <c:pt idx="2">
                  <c:v>214</c:v>
                </c:pt>
                <c:pt idx="3">
                  <c:v>213</c:v>
                </c:pt>
                <c:pt idx="4">
                  <c:v>211</c:v>
                </c:pt>
              </c:numCache>
            </c:numRef>
          </c:val>
          <c:extLst>
            <c:ext xmlns:c16="http://schemas.microsoft.com/office/drawing/2014/chart" uri="{C3380CC4-5D6E-409C-BE32-E72D297353CC}">
              <c16:uniqueId val="{00000000-A742-4C84-B3F6-39D6878AAE2F}"/>
            </c:ext>
          </c:extLst>
        </c:ser>
        <c:dLbls>
          <c:showLegendKey val="0"/>
          <c:showVal val="0"/>
          <c:showCatName val="0"/>
          <c:showSerName val="0"/>
          <c:showPercent val="0"/>
          <c:showBubbleSize val="0"/>
        </c:dLbls>
        <c:gapWidth val="219"/>
        <c:overlap val="-27"/>
        <c:axId val="618885696"/>
        <c:axId val="618892176"/>
      </c:barChart>
      <c:catAx>
        <c:axId val="618885696"/>
        <c:scaling>
          <c:orientation val="minMax"/>
        </c:scaling>
        <c:delete val="0"/>
        <c:axPos val="b"/>
        <c:numFmt formatCode="General" sourceLinked="1"/>
        <c:majorTickMark val="none"/>
        <c:minorTickMark val="none"/>
        <c:tickLblPos val="nextTo"/>
        <c:spPr>
          <a:noFill/>
          <a:ln w="9525" cap="flat" cmpd="sng" algn="ctr">
            <a:solidFill>
              <a:srgbClr val="00B050"/>
            </a:solidFill>
            <a:round/>
          </a:ln>
          <a:effectLst>
            <a:outerShdw blurRad="50800" dist="50800" dir="5400000" algn="ctr" rotWithShape="0">
              <a:srgbClr val="FED8D8"/>
            </a:outerShdw>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618892176"/>
        <c:crosses val="autoZero"/>
        <c:auto val="1"/>
        <c:lblAlgn val="ctr"/>
        <c:lblOffset val="100"/>
        <c:noMultiLvlLbl val="0"/>
      </c:catAx>
      <c:valAx>
        <c:axId val="618892176"/>
        <c:scaling>
          <c:orientation val="minMax"/>
        </c:scaling>
        <c:delete val="1"/>
        <c:axPos val="l"/>
        <c:numFmt formatCode="General" sourceLinked="1"/>
        <c:majorTickMark val="none"/>
        <c:minorTickMark val="none"/>
        <c:tickLblPos val="nextTo"/>
        <c:crossAx val="618885696"/>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a:outerShdw blurRad="50800" dist="50800" dir="2400000" algn="ctr" rotWithShape="0">
        <a:srgbClr val="000000">
          <a:alpha val="43137"/>
        </a:srgb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[1_project_micro.xlsm]Pivot || anlysis!PivotTable1</c:name>
    <c:fmtId val="9"/>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773374610890967E-2"/>
          <c:y val="8.8704069342834674E-2"/>
          <c:w val="0.9072710834843587"/>
          <c:h val="0.81040465556672603"/>
        </c:manualLayout>
      </c:layout>
      <c:lineChart>
        <c:grouping val="standard"/>
        <c:varyColors val="0"/>
        <c:ser>
          <c:idx val="0"/>
          <c:order val="0"/>
          <c:tx>
            <c:strRef>
              <c:f>'Pivot || anlysis'!$B$3</c:f>
              <c:strCache>
                <c:ptCount val="1"/>
                <c:pt idx="0">
                  <c:v>Day1 </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 anlysis'!$A$4:$A$12</c:f>
              <c:strCache>
                <c:ptCount val="8"/>
                <c:pt idx="0">
                  <c:v>Chennai</c:v>
                </c:pt>
                <c:pt idx="1">
                  <c:v>Delhi</c:v>
                </c:pt>
                <c:pt idx="2">
                  <c:v>Mumbai</c:v>
                </c:pt>
                <c:pt idx="3">
                  <c:v>Nagpur</c:v>
                </c:pt>
                <c:pt idx="4">
                  <c:v>Patna</c:v>
                </c:pt>
                <c:pt idx="5">
                  <c:v>Pune</c:v>
                </c:pt>
                <c:pt idx="6">
                  <c:v>Ranchi</c:v>
                </c:pt>
                <c:pt idx="7">
                  <c:v>Surat</c:v>
                </c:pt>
              </c:strCache>
            </c:strRef>
          </c:cat>
          <c:val>
            <c:numRef>
              <c:f>'Pivot || anlysis'!$B$4:$B$12</c:f>
              <c:numCache>
                <c:formatCode>General</c:formatCode>
                <c:ptCount val="8"/>
                <c:pt idx="0">
                  <c:v>1191</c:v>
                </c:pt>
                <c:pt idx="1">
                  <c:v>793</c:v>
                </c:pt>
                <c:pt idx="2">
                  <c:v>1026</c:v>
                </c:pt>
                <c:pt idx="3">
                  <c:v>1081</c:v>
                </c:pt>
                <c:pt idx="4">
                  <c:v>1075</c:v>
                </c:pt>
                <c:pt idx="5">
                  <c:v>1024</c:v>
                </c:pt>
                <c:pt idx="6">
                  <c:v>865</c:v>
                </c:pt>
                <c:pt idx="7">
                  <c:v>867</c:v>
                </c:pt>
              </c:numCache>
            </c:numRef>
          </c:val>
          <c:smooth val="0"/>
          <c:extLst>
            <c:ext xmlns:c16="http://schemas.microsoft.com/office/drawing/2014/chart" uri="{C3380CC4-5D6E-409C-BE32-E72D297353CC}">
              <c16:uniqueId val="{00000000-059F-466F-B114-087D11BAC152}"/>
            </c:ext>
          </c:extLst>
        </c:ser>
        <c:ser>
          <c:idx val="1"/>
          <c:order val="1"/>
          <c:tx>
            <c:strRef>
              <c:f>'Pivot || anlysis'!$C$3</c:f>
              <c:strCache>
                <c:ptCount val="1"/>
                <c:pt idx="0">
                  <c:v>Day2 </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 || anlysis'!$A$4:$A$12</c:f>
              <c:strCache>
                <c:ptCount val="8"/>
                <c:pt idx="0">
                  <c:v>Chennai</c:v>
                </c:pt>
                <c:pt idx="1">
                  <c:v>Delhi</c:v>
                </c:pt>
                <c:pt idx="2">
                  <c:v>Mumbai</c:v>
                </c:pt>
                <c:pt idx="3">
                  <c:v>Nagpur</c:v>
                </c:pt>
                <c:pt idx="4">
                  <c:v>Patna</c:v>
                </c:pt>
                <c:pt idx="5">
                  <c:v>Pune</c:v>
                </c:pt>
                <c:pt idx="6">
                  <c:v>Ranchi</c:v>
                </c:pt>
                <c:pt idx="7">
                  <c:v>Surat</c:v>
                </c:pt>
              </c:strCache>
            </c:strRef>
          </c:cat>
          <c:val>
            <c:numRef>
              <c:f>'Pivot || anlysis'!$C$4:$C$12</c:f>
              <c:numCache>
                <c:formatCode>General</c:formatCode>
                <c:ptCount val="8"/>
                <c:pt idx="0">
                  <c:v>969</c:v>
                </c:pt>
                <c:pt idx="1">
                  <c:v>1144</c:v>
                </c:pt>
                <c:pt idx="2">
                  <c:v>1162</c:v>
                </c:pt>
                <c:pt idx="3">
                  <c:v>1111</c:v>
                </c:pt>
                <c:pt idx="4">
                  <c:v>827</c:v>
                </c:pt>
                <c:pt idx="5">
                  <c:v>1026</c:v>
                </c:pt>
                <c:pt idx="6">
                  <c:v>827</c:v>
                </c:pt>
                <c:pt idx="7">
                  <c:v>899</c:v>
                </c:pt>
              </c:numCache>
            </c:numRef>
          </c:val>
          <c:smooth val="0"/>
          <c:extLst>
            <c:ext xmlns:c16="http://schemas.microsoft.com/office/drawing/2014/chart" uri="{C3380CC4-5D6E-409C-BE32-E72D297353CC}">
              <c16:uniqueId val="{00000001-059F-466F-B114-087D11BAC152}"/>
            </c:ext>
          </c:extLst>
        </c:ser>
        <c:ser>
          <c:idx val="2"/>
          <c:order val="2"/>
          <c:tx>
            <c:strRef>
              <c:f>'Pivot || anlysis'!$D$3</c:f>
              <c:strCache>
                <c:ptCount val="1"/>
                <c:pt idx="0">
                  <c:v>Day3 </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'Pivot || anlysis'!$A$4:$A$12</c:f>
              <c:strCache>
                <c:ptCount val="8"/>
                <c:pt idx="0">
                  <c:v>Chennai</c:v>
                </c:pt>
                <c:pt idx="1">
                  <c:v>Delhi</c:v>
                </c:pt>
                <c:pt idx="2">
                  <c:v>Mumbai</c:v>
                </c:pt>
                <c:pt idx="3">
                  <c:v>Nagpur</c:v>
                </c:pt>
                <c:pt idx="4">
                  <c:v>Patna</c:v>
                </c:pt>
                <c:pt idx="5">
                  <c:v>Pune</c:v>
                </c:pt>
                <c:pt idx="6">
                  <c:v>Ranchi</c:v>
                </c:pt>
                <c:pt idx="7">
                  <c:v>Surat</c:v>
                </c:pt>
              </c:strCache>
            </c:strRef>
          </c:cat>
          <c:val>
            <c:numRef>
              <c:f>'Pivot || anlysis'!$D$4:$D$12</c:f>
              <c:numCache>
                <c:formatCode>General</c:formatCode>
                <c:ptCount val="8"/>
                <c:pt idx="0">
                  <c:v>904</c:v>
                </c:pt>
                <c:pt idx="1">
                  <c:v>1061</c:v>
                </c:pt>
                <c:pt idx="2">
                  <c:v>981</c:v>
                </c:pt>
                <c:pt idx="3">
                  <c:v>1097</c:v>
                </c:pt>
                <c:pt idx="4">
                  <c:v>825</c:v>
                </c:pt>
                <c:pt idx="5">
                  <c:v>834</c:v>
                </c:pt>
                <c:pt idx="6">
                  <c:v>799</c:v>
                </c:pt>
                <c:pt idx="7">
                  <c:v>882</c:v>
                </c:pt>
              </c:numCache>
            </c:numRef>
          </c:val>
          <c:smooth val="0"/>
          <c:extLst>
            <c:ext xmlns:c16="http://schemas.microsoft.com/office/drawing/2014/chart" uri="{C3380CC4-5D6E-409C-BE32-E72D297353CC}">
              <c16:uniqueId val="{00000002-059F-466F-B114-087D11BAC152}"/>
            </c:ext>
          </c:extLst>
        </c:ser>
        <c:ser>
          <c:idx val="3"/>
          <c:order val="3"/>
          <c:tx>
            <c:strRef>
              <c:f>'Pivot || anlysis'!$E$3</c:f>
              <c:strCache>
                <c:ptCount val="1"/>
                <c:pt idx="0">
                  <c:v>Day4 </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'Pivot || anlysis'!$A$4:$A$12</c:f>
              <c:strCache>
                <c:ptCount val="8"/>
                <c:pt idx="0">
                  <c:v>Chennai</c:v>
                </c:pt>
                <c:pt idx="1">
                  <c:v>Delhi</c:v>
                </c:pt>
                <c:pt idx="2">
                  <c:v>Mumbai</c:v>
                </c:pt>
                <c:pt idx="3">
                  <c:v>Nagpur</c:v>
                </c:pt>
                <c:pt idx="4">
                  <c:v>Patna</c:v>
                </c:pt>
                <c:pt idx="5">
                  <c:v>Pune</c:v>
                </c:pt>
                <c:pt idx="6">
                  <c:v>Ranchi</c:v>
                </c:pt>
                <c:pt idx="7">
                  <c:v>Surat</c:v>
                </c:pt>
              </c:strCache>
            </c:strRef>
          </c:cat>
          <c:val>
            <c:numRef>
              <c:f>'Pivot || anlysis'!$E$4:$E$12</c:f>
              <c:numCache>
                <c:formatCode>General</c:formatCode>
                <c:ptCount val="8"/>
                <c:pt idx="0">
                  <c:v>1103</c:v>
                </c:pt>
                <c:pt idx="1">
                  <c:v>1089</c:v>
                </c:pt>
                <c:pt idx="2">
                  <c:v>1129</c:v>
                </c:pt>
                <c:pt idx="3">
                  <c:v>997</c:v>
                </c:pt>
                <c:pt idx="4">
                  <c:v>888</c:v>
                </c:pt>
                <c:pt idx="5">
                  <c:v>1113</c:v>
                </c:pt>
                <c:pt idx="6">
                  <c:v>1022</c:v>
                </c:pt>
                <c:pt idx="7">
                  <c:v>982</c:v>
                </c:pt>
              </c:numCache>
            </c:numRef>
          </c:val>
          <c:smooth val="0"/>
          <c:extLst>
            <c:ext xmlns:c16="http://schemas.microsoft.com/office/drawing/2014/chart" uri="{C3380CC4-5D6E-409C-BE32-E72D297353CC}">
              <c16:uniqueId val="{00000003-059F-466F-B114-087D11BAC152}"/>
            </c:ext>
          </c:extLst>
        </c:ser>
        <c:ser>
          <c:idx val="4"/>
          <c:order val="4"/>
          <c:tx>
            <c:strRef>
              <c:f>'Pivot || anlysis'!$F$3</c:f>
              <c:strCache>
                <c:ptCount val="1"/>
                <c:pt idx="0">
                  <c:v>Day5 </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'Pivot || anlysis'!$A$4:$A$12</c:f>
              <c:strCache>
                <c:ptCount val="8"/>
                <c:pt idx="0">
                  <c:v>Chennai</c:v>
                </c:pt>
                <c:pt idx="1">
                  <c:v>Delhi</c:v>
                </c:pt>
                <c:pt idx="2">
                  <c:v>Mumbai</c:v>
                </c:pt>
                <c:pt idx="3">
                  <c:v>Nagpur</c:v>
                </c:pt>
                <c:pt idx="4">
                  <c:v>Patna</c:v>
                </c:pt>
                <c:pt idx="5">
                  <c:v>Pune</c:v>
                </c:pt>
                <c:pt idx="6">
                  <c:v>Ranchi</c:v>
                </c:pt>
                <c:pt idx="7">
                  <c:v>Surat</c:v>
                </c:pt>
              </c:strCache>
            </c:strRef>
          </c:cat>
          <c:val>
            <c:numRef>
              <c:f>'Pivot || anlysis'!$F$4:$F$12</c:f>
              <c:numCache>
                <c:formatCode>General</c:formatCode>
                <c:ptCount val="8"/>
                <c:pt idx="0">
                  <c:v>896</c:v>
                </c:pt>
                <c:pt idx="1">
                  <c:v>878</c:v>
                </c:pt>
                <c:pt idx="2">
                  <c:v>899</c:v>
                </c:pt>
                <c:pt idx="3">
                  <c:v>962</c:v>
                </c:pt>
                <c:pt idx="4">
                  <c:v>982</c:v>
                </c:pt>
                <c:pt idx="5">
                  <c:v>1070</c:v>
                </c:pt>
                <c:pt idx="6">
                  <c:v>783</c:v>
                </c:pt>
                <c:pt idx="7">
                  <c:v>882</c:v>
                </c:pt>
              </c:numCache>
            </c:numRef>
          </c:val>
          <c:smooth val="0"/>
          <c:extLst>
            <c:ext xmlns:c16="http://schemas.microsoft.com/office/drawing/2014/chart" uri="{C3380CC4-5D6E-409C-BE32-E72D297353CC}">
              <c16:uniqueId val="{00000004-059F-466F-B114-087D11BAC152}"/>
            </c:ext>
          </c:extLst>
        </c:ser>
        <c:dLbls>
          <c:showLegendKey val="0"/>
          <c:showVal val="0"/>
          <c:showCatName val="0"/>
          <c:showSerName val="0"/>
          <c:showPercent val="0"/>
          <c:showBubbleSize val="0"/>
        </c:dLbls>
        <c:marker val="1"/>
        <c:smooth val="0"/>
        <c:axId val="536506872"/>
        <c:axId val="536507232"/>
      </c:lineChart>
      <c:catAx>
        <c:axId val="5365068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6507232"/>
        <c:crosses val="autoZero"/>
        <c:auto val="1"/>
        <c:lblAlgn val="ctr"/>
        <c:lblOffset val="100"/>
        <c:noMultiLvlLbl val="0"/>
      </c:catAx>
      <c:valAx>
        <c:axId val="5365072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650687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[1_project_micro.xlsm]Pivot || anlysis!PivotTable2</c:name>
    <c:fmtId val="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5312499850531173E-2"/>
          <c:y val="5.6345968608910488E-2"/>
          <c:w val="0.90605055865598394"/>
          <c:h val="0.8416746864975212"/>
        </c:manualLayout>
      </c:layout>
      <c:barChart>
        <c:barDir val="col"/>
        <c:grouping val="clustered"/>
        <c:varyColors val="0"/>
        <c:ser>
          <c:idx val="0"/>
          <c:order val="0"/>
          <c:tx>
            <c:strRef>
              <c:f>'Pivot || anlysis'!$B$29</c:f>
              <c:strCache>
                <c:ptCount val="1"/>
                <c:pt idx="0">
                  <c:v>Total</c:v>
                </c:pt>
              </c:strCache>
            </c:strRef>
          </c:tx>
          <c:spPr>
            <a:solidFill>
              <a:schemeClr val="accent1"/>
            </a:solidFill>
            <a:ln>
              <a:noFill/>
            </a:ln>
            <a:effectLst/>
          </c:spPr>
          <c:invertIfNegative val="0"/>
          <c:cat>
            <c:strRef>
              <c:f>'Pivot || anlysis'!$A$30:$A$38</c:f>
              <c:strCache>
                <c:ptCount val="8"/>
                <c:pt idx="0">
                  <c:v>Chennai</c:v>
                </c:pt>
                <c:pt idx="1">
                  <c:v>Delhi</c:v>
                </c:pt>
                <c:pt idx="2">
                  <c:v>Mumbai</c:v>
                </c:pt>
                <c:pt idx="3">
                  <c:v>Nagpur</c:v>
                </c:pt>
                <c:pt idx="4">
                  <c:v>Patna</c:v>
                </c:pt>
                <c:pt idx="5">
                  <c:v>Pune</c:v>
                </c:pt>
                <c:pt idx="6">
                  <c:v>Ranchi</c:v>
                </c:pt>
                <c:pt idx="7">
                  <c:v>Surat</c:v>
                </c:pt>
              </c:strCache>
            </c:strRef>
          </c:cat>
          <c:val>
            <c:numRef>
              <c:f>'Pivot || anlysis'!$B$30:$B$38</c:f>
              <c:numCache>
                <c:formatCode>General</c:formatCode>
                <c:ptCount val="8"/>
                <c:pt idx="0">
                  <c:v>5063</c:v>
                </c:pt>
                <c:pt idx="1">
                  <c:v>4965</c:v>
                </c:pt>
                <c:pt idx="2">
                  <c:v>5197</c:v>
                </c:pt>
                <c:pt idx="3">
                  <c:v>5248</c:v>
                </c:pt>
                <c:pt idx="4">
                  <c:v>4597</c:v>
                </c:pt>
                <c:pt idx="5">
                  <c:v>5067</c:v>
                </c:pt>
                <c:pt idx="6">
                  <c:v>4296</c:v>
                </c:pt>
                <c:pt idx="7">
                  <c:v>4512</c:v>
                </c:pt>
              </c:numCache>
            </c:numRef>
          </c:val>
          <c:extLst>
            <c:ext xmlns:c16="http://schemas.microsoft.com/office/drawing/2014/chart" uri="{C3380CC4-5D6E-409C-BE32-E72D297353CC}">
              <c16:uniqueId val="{00000000-68AC-47A0-8732-1B2FCA5BE4B3}"/>
            </c:ext>
          </c:extLst>
        </c:ser>
        <c:dLbls>
          <c:showLegendKey val="0"/>
          <c:showVal val="0"/>
          <c:showCatName val="0"/>
          <c:showSerName val="0"/>
          <c:showPercent val="0"/>
          <c:showBubbleSize val="0"/>
        </c:dLbls>
        <c:gapWidth val="219"/>
        <c:overlap val="-27"/>
        <c:axId val="644150232"/>
        <c:axId val="644150592"/>
      </c:barChart>
      <c:catAx>
        <c:axId val="6441502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50592"/>
        <c:crosses val="autoZero"/>
        <c:auto val="1"/>
        <c:lblAlgn val="ctr"/>
        <c:lblOffset val="100"/>
        <c:noMultiLvlLbl val="0"/>
      </c:catAx>
      <c:valAx>
        <c:axId val="6441505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5023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[1_project_micro.xlsm]Pivot || anlysis!PivotTable4</c:name>
    <c:fmtId val="17"/>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3436437533915854"/>
          <c:y val="5.4866633941853107E-2"/>
          <c:w val="0.55965592536227093"/>
          <c:h val="0.81137795275590552"/>
        </c:manualLayout>
      </c:layout>
      <c:barChart>
        <c:barDir val="bar"/>
        <c:grouping val="clustered"/>
        <c:varyColors val="0"/>
        <c:ser>
          <c:idx val="0"/>
          <c:order val="0"/>
          <c:tx>
            <c:strRef>
              <c:f>'Pivot || anlysis'!$B$44</c:f>
              <c:strCache>
                <c:ptCount val="1"/>
                <c:pt idx="0">
                  <c:v>Target Hit % </c:v>
                </c:pt>
              </c:strCache>
            </c:strRef>
          </c:tx>
          <c:spPr>
            <a:solidFill>
              <a:schemeClr val="accent1"/>
            </a:solidFill>
            <a:ln>
              <a:noFill/>
            </a:ln>
            <a:effectLst/>
          </c:spPr>
          <c:invertIfNegative val="0"/>
          <c:cat>
            <c:strRef>
              <c:f>'Pivot || anlysis'!$A$45:$A$53</c:f>
              <c:strCache>
                <c:ptCount val="8"/>
                <c:pt idx="0">
                  <c:v>Chennai</c:v>
                </c:pt>
                <c:pt idx="1">
                  <c:v>Delhi</c:v>
                </c:pt>
                <c:pt idx="2">
                  <c:v>Mumbai</c:v>
                </c:pt>
                <c:pt idx="3">
                  <c:v>Nagpur</c:v>
                </c:pt>
                <c:pt idx="4">
                  <c:v>Patna</c:v>
                </c:pt>
                <c:pt idx="5">
                  <c:v>Pune</c:v>
                </c:pt>
                <c:pt idx="6">
                  <c:v>Ranchi</c:v>
                </c:pt>
                <c:pt idx="7">
                  <c:v>Surat</c:v>
                </c:pt>
              </c:strCache>
            </c:strRef>
          </c:cat>
          <c:val>
            <c:numRef>
              <c:f>'Pivot || anlysis'!$B$45:$B$53</c:f>
              <c:numCache>
                <c:formatCode>0.00%</c:formatCode>
                <c:ptCount val="8"/>
                <c:pt idx="0">
                  <c:v>0.1300038515855694</c:v>
                </c:pt>
                <c:pt idx="1">
                  <c:v>0.12748748234689949</c:v>
                </c:pt>
                <c:pt idx="2">
                  <c:v>0.13344460136089356</c:v>
                </c:pt>
                <c:pt idx="3">
                  <c:v>0.13475414045448711</c:v>
                </c:pt>
                <c:pt idx="4">
                  <c:v>0.11803825908332262</c:v>
                </c:pt>
                <c:pt idx="5">
                  <c:v>0.13010656053408651</c:v>
                </c:pt>
                <c:pt idx="6">
                  <c:v>0.11030941070740789</c:v>
                </c:pt>
                <c:pt idx="7">
                  <c:v>0.11585569392733343</c:v>
                </c:pt>
              </c:numCache>
            </c:numRef>
          </c:val>
          <c:extLst>
            <c:ext xmlns:c16="http://schemas.microsoft.com/office/drawing/2014/chart" uri="{C3380CC4-5D6E-409C-BE32-E72D297353CC}">
              <c16:uniqueId val="{00000000-73A9-4A6A-BF72-C669563EFFA6}"/>
            </c:ext>
          </c:extLst>
        </c:ser>
        <c:ser>
          <c:idx val="1"/>
          <c:order val="1"/>
          <c:tx>
            <c:strRef>
              <c:f>'Pivot || anlysis'!$C$44</c:f>
              <c:strCache>
                <c:ptCount val="1"/>
                <c:pt idx="0">
                  <c:v>Away From Target % </c:v>
                </c:pt>
              </c:strCache>
            </c:strRef>
          </c:tx>
          <c:spPr>
            <a:solidFill>
              <a:schemeClr val="accent2"/>
            </a:solidFill>
            <a:ln>
              <a:noFill/>
            </a:ln>
            <a:effectLst/>
          </c:spPr>
          <c:invertIfNegative val="0"/>
          <c:cat>
            <c:strRef>
              <c:f>'Pivot || anlysis'!$A$45:$A$53</c:f>
              <c:strCache>
                <c:ptCount val="8"/>
                <c:pt idx="0">
                  <c:v>Chennai</c:v>
                </c:pt>
                <c:pt idx="1">
                  <c:v>Delhi</c:v>
                </c:pt>
                <c:pt idx="2">
                  <c:v>Mumbai</c:v>
                </c:pt>
                <c:pt idx="3">
                  <c:v>Nagpur</c:v>
                </c:pt>
                <c:pt idx="4">
                  <c:v>Patna</c:v>
                </c:pt>
                <c:pt idx="5">
                  <c:v>Pune</c:v>
                </c:pt>
                <c:pt idx="6">
                  <c:v>Ranchi</c:v>
                </c:pt>
                <c:pt idx="7">
                  <c:v>Surat</c:v>
                </c:pt>
              </c:strCache>
            </c:strRef>
          </c:cat>
          <c:val>
            <c:numRef>
              <c:f>'Pivot || anlysis'!$C$45:$C$53</c:f>
              <c:numCache>
                <c:formatCode>0.00%</c:formatCode>
                <c:ptCount val="8"/>
                <c:pt idx="0">
                  <c:v>0.12476628109649819</c:v>
                </c:pt>
                <c:pt idx="1">
                  <c:v>0.12787196957692917</c:v>
                </c:pt>
                <c:pt idx="2">
                  <c:v>0.1205197274599905</c:v>
                </c:pt>
                <c:pt idx="3">
                  <c:v>0.11890350182221519</c:v>
                </c:pt>
                <c:pt idx="4">
                  <c:v>0.12368879733798128</c:v>
                </c:pt>
                <c:pt idx="5">
                  <c:v>0.12463951830137855</c:v>
                </c:pt>
                <c:pt idx="6">
                  <c:v>0.13322769767073364</c:v>
                </c:pt>
                <c:pt idx="7">
                  <c:v>0.12638250673427348</c:v>
                </c:pt>
              </c:numCache>
            </c:numRef>
          </c:val>
          <c:extLst>
            <c:ext xmlns:c16="http://schemas.microsoft.com/office/drawing/2014/chart" uri="{C3380CC4-5D6E-409C-BE32-E72D297353CC}">
              <c16:uniqueId val="{00000001-73A9-4A6A-BF72-C669563EFFA6}"/>
            </c:ext>
          </c:extLst>
        </c:ser>
        <c:dLbls>
          <c:showLegendKey val="0"/>
          <c:showVal val="0"/>
          <c:showCatName val="0"/>
          <c:showSerName val="0"/>
          <c:showPercent val="0"/>
          <c:showBubbleSize val="0"/>
        </c:dLbls>
        <c:gapWidth val="150"/>
        <c:axId val="644154912"/>
        <c:axId val="644156352"/>
      </c:barChart>
      <c:catAx>
        <c:axId val="64415491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56352"/>
        <c:crosses val="autoZero"/>
        <c:auto val="1"/>
        <c:lblAlgn val="ctr"/>
        <c:lblOffset val="100"/>
        <c:noMultiLvlLbl val="0"/>
      </c:catAx>
      <c:valAx>
        <c:axId val="644156352"/>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549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hyperlink" Target="#'Sales || DashBoard'!A1"/><Relationship Id="rId2" Type="http://schemas.openxmlformats.org/officeDocument/2006/relationships/hyperlink" Target="#'Pivot || anlysis'!A1"/><Relationship Id="rId1" Type="http://schemas.openxmlformats.org/officeDocument/2006/relationships/hyperlink" Target="#'RAW DATA'!A1"/><Relationship Id="rId5" Type="http://schemas.openxmlformats.org/officeDocument/2006/relationships/image" Target="../media/image1.png"/><Relationship Id="rId4" Type="http://schemas.openxmlformats.org/officeDocument/2006/relationships/hyperlink" Target="#'Region || DashBoard'!A1"/></Relationships>
</file>

<file path=xl/drawings/_rels/drawing2.xml.rels><?xml version="1.0" encoding="UTF-8" standalone="yes"?>
<Relationships xmlns="http://schemas.openxmlformats.org/package/2006/relationships"><Relationship Id="rId8" Type="http://schemas.openxmlformats.org/officeDocument/2006/relationships/image" Target="../media/image1.png"/><Relationship Id="rId3" Type="http://schemas.openxmlformats.org/officeDocument/2006/relationships/chart" Target="../charts/chart3.xml"/><Relationship Id="rId7" Type="http://schemas.openxmlformats.org/officeDocument/2006/relationships/hyperlink" Target="#'Region || DashBoard'!A1"/><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hyperlink" Target="#'Sales || DashBoard'!A1"/><Relationship Id="rId5" Type="http://schemas.openxmlformats.org/officeDocument/2006/relationships/hyperlink" Target="#'Pivot || anlysis'!A1"/><Relationship Id="rId4" Type="http://schemas.openxmlformats.org/officeDocument/2006/relationships/hyperlink" Target="#'RAW DATA'!A1"/></Relationships>
</file>

<file path=xl/drawings/_rels/drawing3.xml.rels><?xml version="1.0" encoding="UTF-8" standalone="yes"?>
<Relationships xmlns="http://schemas.openxmlformats.org/package/2006/relationships"><Relationship Id="rId8" Type="http://schemas.openxmlformats.org/officeDocument/2006/relationships/hyperlink" Target="#'Region || DashBoard'!A1"/><Relationship Id="rId3" Type="http://schemas.openxmlformats.org/officeDocument/2006/relationships/chart" Target="../charts/chart6.xml"/><Relationship Id="rId7" Type="http://schemas.openxmlformats.org/officeDocument/2006/relationships/hyperlink" Target="#'Sales || DashBoard'!A1"/><Relationship Id="rId2" Type="http://schemas.openxmlformats.org/officeDocument/2006/relationships/chart" Target="../charts/chart5.xml"/><Relationship Id="rId1" Type="http://schemas.openxmlformats.org/officeDocument/2006/relationships/chart" Target="../charts/chart4.xml"/><Relationship Id="rId6" Type="http://schemas.openxmlformats.org/officeDocument/2006/relationships/hyperlink" Target="#'Pivot || anlysis'!A1"/><Relationship Id="rId5" Type="http://schemas.openxmlformats.org/officeDocument/2006/relationships/hyperlink" Target="#'RAW DATA'!A1"/><Relationship Id="rId4" Type="http://schemas.openxmlformats.org/officeDocument/2006/relationships/chart" Target="../charts/chart7.xml"/><Relationship Id="rId9" Type="http://schemas.openxmlformats.org/officeDocument/2006/relationships/image" Target="../media/image1.png"/></Relationships>
</file>

<file path=xl/drawings/_rels/drawing4.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chart" Target="../charts/chart10.xml"/><Relationship Id="rId7" Type="http://schemas.openxmlformats.org/officeDocument/2006/relationships/hyperlink" Target="#'Region || DashBoard'!A1"/><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hyperlink" Target="#'Sales || DashBoard'!A1"/><Relationship Id="rId5" Type="http://schemas.openxmlformats.org/officeDocument/2006/relationships/hyperlink" Target="#'Pivot || anlysis'!A1"/><Relationship Id="rId4" Type="http://schemas.openxmlformats.org/officeDocument/2006/relationships/hyperlink" Target="#'RAW DATA'!A1"/></Relationships>
</file>

<file path=xl/drawings/drawing1.xml><?xml version="1.0" encoding="utf-8"?>
<xdr:wsDr xmlns:xdr="http://schemas.openxmlformats.org/drawingml/2006/spreadsheetDrawing" xmlns:a="http://schemas.openxmlformats.org/drawingml/2006/main">
  <xdr:twoCellAnchor>
    <xdr:from>
      <xdr:col>0</xdr:col>
      <xdr:colOff>11721</xdr:colOff>
      <xdr:row>0</xdr:row>
      <xdr:rowOff>9525</xdr:rowOff>
    </xdr:from>
    <xdr:to>
      <xdr:col>23</xdr:col>
      <xdr:colOff>457746</xdr:colOff>
      <xdr:row>0</xdr:row>
      <xdr:rowOff>297525</xdr:rowOff>
    </xdr:to>
    <xdr:grpSp>
      <xdr:nvGrpSpPr>
        <xdr:cNvPr id="3" name="Group 2">
          <a:extLst>
            <a:ext uri="{FF2B5EF4-FFF2-40B4-BE49-F238E27FC236}">
              <a16:creationId xmlns:a16="http://schemas.microsoft.com/office/drawing/2014/main" id="{EC6D8E81-57F6-4C84-BF4C-8DE2C3E45EF9}"/>
            </a:ext>
          </a:extLst>
        </xdr:cNvPr>
        <xdr:cNvGrpSpPr/>
      </xdr:nvGrpSpPr>
      <xdr:grpSpPr>
        <a:xfrm>
          <a:off x="11721" y="9525"/>
          <a:ext cx="14724000" cy="288000"/>
          <a:chOff x="47570" y="47625"/>
          <a:chExt cx="14639925" cy="266700"/>
        </a:xfrm>
      </xdr:grpSpPr>
      <xdr:sp macro="" textlink="">
        <xdr:nvSpPr>
          <xdr:cNvPr id="4" name="Rectangle: Rounded Corners 3">
            <a:extLst>
              <a:ext uri="{FF2B5EF4-FFF2-40B4-BE49-F238E27FC236}">
                <a16:creationId xmlns:a16="http://schemas.microsoft.com/office/drawing/2014/main" id="{923D0D6A-E661-89D1-1F4D-D768D26EC375}"/>
              </a:ext>
            </a:extLst>
          </xdr:cNvPr>
          <xdr:cNvSpPr/>
        </xdr:nvSpPr>
        <xdr:spPr>
          <a:xfrm>
            <a:off x="47570" y="47625"/>
            <a:ext cx="14639925" cy="266700"/>
          </a:xfrm>
          <a:prstGeom prst="roundRec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latin typeface="Arial Black" panose="020B0A04020102020204" pitchFamily="34" charset="0"/>
              </a:rPr>
              <a:t>           </a:t>
            </a:r>
            <a:r>
              <a:rPr lang="en-US" sz="1100">
                <a:solidFill>
                  <a:schemeClr val="tx1"/>
                </a:solidFill>
                <a:latin typeface="Arial Black" panose="020B0A04020102020204" pitchFamily="34" charset="0"/>
              </a:rPr>
              <a:t>HARSHIT</a:t>
            </a:r>
            <a:r>
              <a:rPr lang="en-US" sz="1100" baseline="0">
                <a:latin typeface="Arial Black" panose="020B0A04020102020204" pitchFamily="34" charset="0"/>
              </a:rPr>
              <a:t> </a:t>
            </a:r>
            <a:r>
              <a:rPr lang="en-US" sz="1100" baseline="0">
                <a:solidFill>
                  <a:schemeClr val="tx1"/>
                </a:solidFill>
                <a:latin typeface="Arial Black" panose="020B0A04020102020204" pitchFamily="34" charset="0"/>
              </a:rPr>
              <a:t>JONWAL</a:t>
            </a:r>
            <a:endParaRPr lang="en-US" sz="1100">
              <a:solidFill>
                <a:schemeClr val="tx1"/>
              </a:solidFill>
              <a:latin typeface="Arial Black" panose="020B0A04020102020204" pitchFamily="34" charset="0"/>
            </a:endParaRPr>
          </a:p>
        </xdr:txBody>
      </xdr:sp>
      <xdr:grpSp>
        <xdr:nvGrpSpPr>
          <xdr:cNvPr id="5" name="Group 4">
            <a:extLst>
              <a:ext uri="{FF2B5EF4-FFF2-40B4-BE49-F238E27FC236}">
                <a16:creationId xmlns:a16="http://schemas.microsoft.com/office/drawing/2014/main" id="{4EC4A56C-5E0F-895C-BC9D-1CDF70F1278A}"/>
              </a:ext>
            </a:extLst>
          </xdr:cNvPr>
          <xdr:cNvGrpSpPr/>
        </xdr:nvGrpSpPr>
        <xdr:grpSpPr>
          <a:xfrm>
            <a:off x="6105525" y="76200"/>
            <a:ext cx="2105025" cy="209550"/>
            <a:chOff x="8782050" y="76200"/>
            <a:chExt cx="1438275" cy="180000"/>
          </a:xfrm>
        </xdr:grpSpPr>
        <xdr:sp macro="" textlink="">
          <xdr:nvSpPr>
            <xdr:cNvPr id="22" name="Rectangle: Rounded Corners 21">
              <a:hlinkClick xmlns:r="http://schemas.openxmlformats.org/officeDocument/2006/relationships" r:id="rId1"/>
              <a:extLst>
                <a:ext uri="{FF2B5EF4-FFF2-40B4-BE49-F238E27FC236}">
                  <a16:creationId xmlns:a16="http://schemas.microsoft.com/office/drawing/2014/main" id="{0C24B81E-65B3-2D60-1938-AAA3C4C7203E}"/>
                </a:ext>
              </a:extLst>
            </xdr:cNvPr>
            <xdr:cNvSpPr/>
          </xdr:nvSpPr>
          <xdr:spPr>
            <a:xfrm>
              <a:off x="8782050" y="76200"/>
              <a:ext cx="1438275" cy="180000"/>
            </a:xfrm>
            <a:prstGeom prst="round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100" b="1">
                  <a:solidFill>
                    <a:schemeClr val="tx1"/>
                  </a:solidFill>
                </a:rPr>
                <a:t>RAW</a:t>
              </a:r>
              <a:r>
                <a:rPr lang="en-US" sz="1100" b="1" baseline="0">
                  <a:solidFill>
                    <a:schemeClr val="tx1"/>
                  </a:solidFill>
                </a:rPr>
                <a:t> DATA</a:t>
              </a:r>
              <a:endParaRPr lang="en-US" sz="1100" b="1">
                <a:solidFill>
                  <a:schemeClr val="tx1"/>
                </a:solidFill>
              </a:endParaRPr>
            </a:p>
          </xdr:txBody>
        </xdr:sp>
        <xdr:grpSp>
          <xdr:nvGrpSpPr>
            <xdr:cNvPr id="23" name="Group 22">
              <a:extLst>
                <a:ext uri="{FF2B5EF4-FFF2-40B4-BE49-F238E27FC236}">
                  <a16:creationId xmlns:a16="http://schemas.microsoft.com/office/drawing/2014/main" id="{AA48F63D-2D0E-9824-7488-E79C13A6CCC4}"/>
                </a:ext>
              </a:extLst>
            </xdr:cNvPr>
            <xdr:cNvGrpSpPr/>
          </xdr:nvGrpSpPr>
          <xdr:grpSpPr>
            <a:xfrm>
              <a:off x="8839200" y="85725"/>
              <a:ext cx="219075" cy="161925"/>
              <a:chOff x="8839200" y="85725"/>
              <a:chExt cx="219075" cy="161925"/>
            </a:xfrm>
            <a:solidFill>
              <a:schemeClr val="tx1"/>
            </a:solidFill>
          </xdr:grpSpPr>
          <xdr:sp macro="" textlink="">
            <xdr:nvSpPr>
              <xdr:cNvPr id="24" name="Arrow: Chevron 23">
                <a:extLst>
                  <a:ext uri="{FF2B5EF4-FFF2-40B4-BE49-F238E27FC236}">
                    <a16:creationId xmlns:a16="http://schemas.microsoft.com/office/drawing/2014/main" id="{60D7023E-AC05-968C-2354-D3748E4DD76C}"/>
                  </a:ext>
                </a:extLst>
              </xdr:cNvPr>
              <xdr:cNvSpPr/>
            </xdr:nvSpPr>
            <xdr:spPr>
              <a:xfrm>
                <a:off x="8839200" y="85725"/>
                <a:ext cx="123825" cy="161925"/>
              </a:xfrm>
              <a:prstGeom prst="chevron">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sp macro="" textlink="">
            <xdr:nvSpPr>
              <xdr:cNvPr id="25" name="Arrow: Chevron 24">
                <a:extLst>
                  <a:ext uri="{FF2B5EF4-FFF2-40B4-BE49-F238E27FC236}">
                    <a16:creationId xmlns:a16="http://schemas.microsoft.com/office/drawing/2014/main" id="{973D9E85-DFC3-AAC9-CA77-67E28CD1E755}"/>
                  </a:ext>
                </a:extLst>
              </xdr:cNvPr>
              <xdr:cNvSpPr/>
            </xdr:nvSpPr>
            <xdr:spPr>
              <a:xfrm>
                <a:off x="8934450" y="85725"/>
                <a:ext cx="123825" cy="161925"/>
              </a:xfrm>
              <a:prstGeom prst="chevron">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grpSp>
      </xdr:grpSp>
      <xdr:grpSp>
        <xdr:nvGrpSpPr>
          <xdr:cNvPr id="6" name="Group 5">
            <a:extLst>
              <a:ext uri="{FF2B5EF4-FFF2-40B4-BE49-F238E27FC236}">
                <a16:creationId xmlns:a16="http://schemas.microsoft.com/office/drawing/2014/main" id="{5EC117D8-BC1E-CD2D-D138-894F36750768}"/>
              </a:ext>
            </a:extLst>
          </xdr:cNvPr>
          <xdr:cNvGrpSpPr/>
        </xdr:nvGrpSpPr>
        <xdr:grpSpPr>
          <a:xfrm>
            <a:off x="8239125" y="76200"/>
            <a:ext cx="2105025" cy="209550"/>
            <a:chOff x="10248900" y="76200"/>
            <a:chExt cx="1438275" cy="180000"/>
          </a:xfrm>
        </xdr:grpSpPr>
        <xdr:sp macro="" textlink="">
          <xdr:nvSpPr>
            <xdr:cNvPr id="18" name="Rectangle: Rounded Corners 17">
              <a:hlinkClick xmlns:r="http://schemas.openxmlformats.org/officeDocument/2006/relationships" r:id="rId2"/>
              <a:extLst>
                <a:ext uri="{FF2B5EF4-FFF2-40B4-BE49-F238E27FC236}">
                  <a16:creationId xmlns:a16="http://schemas.microsoft.com/office/drawing/2014/main" id="{885C04F4-399B-F7F3-8185-74C1BE285EFF}"/>
                </a:ext>
              </a:extLst>
            </xdr:cNvPr>
            <xdr:cNvSpPr/>
          </xdr:nvSpPr>
          <xdr:spPr>
            <a:xfrm>
              <a:off x="10248900" y="76200"/>
              <a:ext cx="1438275" cy="180000"/>
            </a:xfrm>
            <a:prstGeom prst="round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100" b="1">
                  <a:solidFill>
                    <a:schemeClr val="tx1"/>
                  </a:solidFill>
                  <a:latin typeface="+mn-lt"/>
                  <a:ea typeface="+mn-ea"/>
                  <a:cs typeface="+mn-cs"/>
                </a:rPr>
                <a:t>PIVOT</a:t>
              </a:r>
              <a:r>
                <a:rPr lang="en-US" sz="1100" b="1" baseline="0">
                  <a:solidFill>
                    <a:schemeClr val="tx1"/>
                  </a:solidFill>
                  <a:latin typeface="+mn-lt"/>
                  <a:ea typeface="+mn-ea"/>
                  <a:cs typeface="+mn-cs"/>
                </a:rPr>
                <a:t> </a:t>
              </a:r>
              <a:endParaRPr lang="en-US" sz="1100" b="1">
                <a:solidFill>
                  <a:schemeClr val="tx1"/>
                </a:solidFill>
                <a:latin typeface="+mn-lt"/>
                <a:ea typeface="+mn-ea"/>
                <a:cs typeface="+mn-cs"/>
              </a:endParaRPr>
            </a:p>
          </xdr:txBody>
        </xdr:sp>
        <xdr:grpSp>
          <xdr:nvGrpSpPr>
            <xdr:cNvPr id="19" name="Group 18">
              <a:extLst>
                <a:ext uri="{FF2B5EF4-FFF2-40B4-BE49-F238E27FC236}">
                  <a16:creationId xmlns:a16="http://schemas.microsoft.com/office/drawing/2014/main" id="{131D5104-5E95-5A31-DB1E-5EBA6ABF927E}"/>
                </a:ext>
              </a:extLst>
            </xdr:cNvPr>
            <xdr:cNvGrpSpPr/>
          </xdr:nvGrpSpPr>
          <xdr:grpSpPr>
            <a:xfrm>
              <a:off x="10306050" y="85725"/>
              <a:ext cx="219075" cy="161925"/>
              <a:chOff x="8839200" y="85725"/>
              <a:chExt cx="219075" cy="161925"/>
            </a:xfrm>
            <a:solidFill>
              <a:schemeClr val="tx1"/>
            </a:solidFill>
          </xdr:grpSpPr>
          <xdr:sp macro="" textlink="">
            <xdr:nvSpPr>
              <xdr:cNvPr id="20" name="Arrow: Chevron 19">
                <a:extLst>
                  <a:ext uri="{FF2B5EF4-FFF2-40B4-BE49-F238E27FC236}">
                    <a16:creationId xmlns:a16="http://schemas.microsoft.com/office/drawing/2014/main" id="{00304812-2B16-F473-6E79-DBA7A4EEBC23}"/>
                  </a:ext>
                </a:extLst>
              </xdr:cNvPr>
              <xdr:cNvSpPr/>
            </xdr:nvSpPr>
            <xdr:spPr>
              <a:xfrm>
                <a:off x="8839200" y="85725"/>
                <a:ext cx="123825" cy="161925"/>
              </a:xfrm>
              <a:prstGeom prst="chevron">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sp macro="" textlink="">
            <xdr:nvSpPr>
              <xdr:cNvPr id="21" name="Arrow: Chevron 20">
                <a:extLst>
                  <a:ext uri="{FF2B5EF4-FFF2-40B4-BE49-F238E27FC236}">
                    <a16:creationId xmlns:a16="http://schemas.microsoft.com/office/drawing/2014/main" id="{2F87938E-3E5C-C88E-4261-ABA470EDFE8B}"/>
                  </a:ext>
                </a:extLst>
              </xdr:cNvPr>
              <xdr:cNvSpPr/>
            </xdr:nvSpPr>
            <xdr:spPr>
              <a:xfrm>
                <a:off x="8934450" y="85725"/>
                <a:ext cx="123825" cy="161925"/>
              </a:xfrm>
              <a:prstGeom prst="chevron">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grpSp>
      </xdr:grpSp>
      <xdr:grpSp>
        <xdr:nvGrpSpPr>
          <xdr:cNvPr id="7" name="Group 6">
            <a:extLst>
              <a:ext uri="{FF2B5EF4-FFF2-40B4-BE49-F238E27FC236}">
                <a16:creationId xmlns:a16="http://schemas.microsoft.com/office/drawing/2014/main" id="{E9F2CB39-1F1C-CFF9-A73E-E02828BFD8A0}"/>
              </a:ext>
            </a:extLst>
          </xdr:cNvPr>
          <xdr:cNvGrpSpPr/>
        </xdr:nvGrpSpPr>
        <xdr:grpSpPr>
          <a:xfrm>
            <a:off x="10372725" y="76200"/>
            <a:ext cx="2105025" cy="209550"/>
            <a:chOff x="11706225" y="76200"/>
            <a:chExt cx="1438275" cy="180000"/>
          </a:xfrm>
        </xdr:grpSpPr>
        <xdr:sp macro="" textlink="">
          <xdr:nvSpPr>
            <xdr:cNvPr id="14" name="Rectangle: Rounded Corners 13">
              <a:hlinkClick xmlns:r="http://schemas.openxmlformats.org/officeDocument/2006/relationships" r:id="rId3"/>
              <a:extLst>
                <a:ext uri="{FF2B5EF4-FFF2-40B4-BE49-F238E27FC236}">
                  <a16:creationId xmlns:a16="http://schemas.microsoft.com/office/drawing/2014/main" id="{BEDE01CA-9F18-60E8-A120-39AF4FC3F490}"/>
                </a:ext>
              </a:extLst>
            </xdr:cNvPr>
            <xdr:cNvSpPr/>
          </xdr:nvSpPr>
          <xdr:spPr>
            <a:xfrm>
              <a:off x="11706225" y="76200"/>
              <a:ext cx="1438275" cy="180000"/>
            </a:xfrm>
            <a:prstGeom prst="round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100" b="1">
                  <a:solidFill>
                    <a:schemeClr val="tx1"/>
                  </a:solidFill>
                  <a:latin typeface="+mn-lt"/>
                  <a:ea typeface="+mn-ea"/>
                  <a:cs typeface="+mn-cs"/>
                </a:rPr>
                <a:t>SALES</a:t>
              </a:r>
              <a:r>
                <a:rPr lang="en-US" sz="1100" b="1" baseline="0">
                  <a:solidFill>
                    <a:schemeClr val="tx1"/>
                  </a:solidFill>
                  <a:latin typeface="+mn-lt"/>
                  <a:ea typeface="+mn-ea"/>
                  <a:cs typeface="+mn-cs"/>
                </a:rPr>
                <a:t> DASHBOARD</a:t>
              </a:r>
              <a:endParaRPr lang="en-US" sz="1100" b="1">
                <a:solidFill>
                  <a:schemeClr val="tx1"/>
                </a:solidFill>
                <a:latin typeface="+mn-lt"/>
                <a:ea typeface="+mn-ea"/>
                <a:cs typeface="+mn-cs"/>
              </a:endParaRPr>
            </a:p>
          </xdr:txBody>
        </xdr:sp>
        <xdr:grpSp>
          <xdr:nvGrpSpPr>
            <xdr:cNvPr id="15" name="Group 14">
              <a:extLst>
                <a:ext uri="{FF2B5EF4-FFF2-40B4-BE49-F238E27FC236}">
                  <a16:creationId xmlns:a16="http://schemas.microsoft.com/office/drawing/2014/main" id="{76BECA54-2055-9FD4-3A34-67BA0C2E113A}"/>
                </a:ext>
              </a:extLst>
            </xdr:cNvPr>
            <xdr:cNvGrpSpPr/>
          </xdr:nvGrpSpPr>
          <xdr:grpSpPr>
            <a:xfrm>
              <a:off x="11772900" y="85725"/>
              <a:ext cx="219075" cy="161925"/>
              <a:chOff x="8839200" y="85725"/>
              <a:chExt cx="219075" cy="161925"/>
            </a:xfrm>
            <a:solidFill>
              <a:schemeClr val="tx1"/>
            </a:solidFill>
          </xdr:grpSpPr>
          <xdr:sp macro="" textlink="">
            <xdr:nvSpPr>
              <xdr:cNvPr id="16" name="Arrow: Chevron 15">
                <a:extLst>
                  <a:ext uri="{FF2B5EF4-FFF2-40B4-BE49-F238E27FC236}">
                    <a16:creationId xmlns:a16="http://schemas.microsoft.com/office/drawing/2014/main" id="{9A0B77EA-A716-36CF-E01D-A56CF89A4EAA}"/>
                  </a:ext>
                </a:extLst>
              </xdr:cNvPr>
              <xdr:cNvSpPr/>
            </xdr:nvSpPr>
            <xdr:spPr>
              <a:xfrm>
                <a:off x="8839200" y="85725"/>
                <a:ext cx="123825" cy="161925"/>
              </a:xfrm>
              <a:prstGeom prst="chevron">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sp macro="" textlink="">
            <xdr:nvSpPr>
              <xdr:cNvPr id="17" name="Arrow: Chevron 16">
                <a:extLst>
                  <a:ext uri="{FF2B5EF4-FFF2-40B4-BE49-F238E27FC236}">
                    <a16:creationId xmlns:a16="http://schemas.microsoft.com/office/drawing/2014/main" id="{F531C8EA-A28C-EF02-27A9-01CB925E552F}"/>
                  </a:ext>
                </a:extLst>
              </xdr:cNvPr>
              <xdr:cNvSpPr/>
            </xdr:nvSpPr>
            <xdr:spPr>
              <a:xfrm>
                <a:off x="8934450" y="85725"/>
                <a:ext cx="123825" cy="161925"/>
              </a:xfrm>
              <a:prstGeom prst="chevron">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grpSp>
      </xdr:grpSp>
      <xdr:grpSp>
        <xdr:nvGrpSpPr>
          <xdr:cNvPr id="8" name="Group 7">
            <a:extLst>
              <a:ext uri="{FF2B5EF4-FFF2-40B4-BE49-F238E27FC236}">
                <a16:creationId xmlns:a16="http://schemas.microsoft.com/office/drawing/2014/main" id="{CFC0F11D-DABA-0875-9E29-6CB66AF4BE68}"/>
              </a:ext>
            </a:extLst>
          </xdr:cNvPr>
          <xdr:cNvGrpSpPr/>
        </xdr:nvGrpSpPr>
        <xdr:grpSpPr>
          <a:xfrm>
            <a:off x="12505524" y="76200"/>
            <a:ext cx="2107550" cy="209550"/>
            <a:chOff x="13173074" y="76200"/>
            <a:chExt cx="1440000" cy="180000"/>
          </a:xfrm>
        </xdr:grpSpPr>
        <xdr:sp macro="" textlink="">
          <xdr:nvSpPr>
            <xdr:cNvPr id="10" name="Rectangle: Rounded Corners 9">
              <a:hlinkClick xmlns:r="http://schemas.openxmlformats.org/officeDocument/2006/relationships" r:id="rId4"/>
              <a:extLst>
                <a:ext uri="{FF2B5EF4-FFF2-40B4-BE49-F238E27FC236}">
                  <a16:creationId xmlns:a16="http://schemas.microsoft.com/office/drawing/2014/main" id="{BCFCBE34-ED8B-4C55-9A2C-EB1BA44EDE84}"/>
                </a:ext>
              </a:extLst>
            </xdr:cNvPr>
            <xdr:cNvSpPr/>
          </xdr:nvSpPr>
          <xdr:spPr>
            <a:xfrm>
              <a:off x="13173074" y="76200"/>
              <a:ext cx="1440000" cy="180000"/>
            </a:xfrm>
            <a:prstGeom prst="round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r"/>
              <a:r>
                <a:rPr lang="en-US" sz="1100" b="1">
                  <a:solidFill>
                    <a:schemeClr val="tx1"/>
                  </a:solidFill>
                  <a:latin typeface="+mn-lt"/>
                  <a:ea typeface="+mn-ea"/>
                  <a:cs typeface="+mn-cs"/>
                </a:rPr>
                <a:t>REAGION</a:t>
              </a:r>
              <a:r>
                <a:rPr lang="en-US" sz="1100" b="1" baseline="0">
                  <a:solidFill>
                    <a:schemeClr val="tx1"/>
                  </a:solidFill>
                  <a:latin typeface="+mn-lt"/>
                  <a:ea typeface="+mn-ea"/>
                  <a:cs typeface="+mn-cs"/>
                </a:rPr>
                <a:t> DASHBOARD</a:t>
              </a:r>
              <a:endParaRPr lang="en-US" sz="1100" b="1">
                <a:solidFill>
                  <a:schemeClr val="tx1"/>
                </a:solidFill>
                <a:latin typeface="+mn-lt"/>
                <a:ea typeface="+mn-ea"/>
                <a:cs typeface="+mn-cs"/>
              </a:endParaRPr>
            </a:p>
          </xdr:txBody>
        </xdr:sp>
        <xdr:grpSp>
          <xdr:nvGrpSpPr>
            <xdr:cNvPr id="11" name="Group 10">
              <a:extLst>
                <a:ext uri="{FF2B5EF4-FFF2-40B4-BE49-F238E27FC236}">
                  <a16:creationId xmlns:a16="http://schemas.microsoft.com/office/drawing/2014/main" id="{ADE3F818-FEF9-0360-6380-8FECAAD075E0}"/>
                </a:ext>
              </a:extLst>
            </xdr:cNvPr>
            <xdr:cNvGrpSpPr/>
          </xdr:nvGrpSpPr>
          <xdr:grpSpPr>
            <a:xfrm>
              <a:off x="13239750" y="85725"/>
              <a:ext cx="219075" cy="161925"/>
              <a:chOff x="8839200" y="85725"/>
              <a:chExt cx="219075" cy="161925"/>
            </a:xfrm>
            <a:solidFill>
              <a:schemeClr val="tx1"/>
            </a:solidFill>
          </xdr:grpSpPr>
          <xdr:sp macro="" textlink="">
            <xdr:nvSpPr>
              <xdr:cNvPr id="12" name="Arrow: Chevron 11">
                <a:extLst>
                  <a:ext uri="{FF2B5EF4-FFF2-40B4-BE49-F238E27FC236}">
                    <a16:creationId xmlns:a16="http://schemas.microsoft.com/office/drawing/2014/main" id="{28E85781-ACBC-3275-E1DF-14E581B7B067}"/>
                  </a:ext>
                </a:extLst>
              </xdr:cNvPr>
              <xdr:cNvSpPr/>
            </xdr:nvSpPr>
            <xdr:spPr>
              <a:xfrm>
                <a:off x="8839200" y="85725"/>
                <a:ext cx="123825" cy="161925"/>
              </a:xfrm>
              <a:prstGeom prst="chevron">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sp macro="" textlink="">
            <xdr:nvSpPr>
              <xdr:cNvPr id="13" name="Arrow: Chevron 12">
                <a:extLst>
                  <a:ext uri="{FF2B5EF4-FFF2-40B4-BE49-F238E27FC236}">
                    <a16:creationId xmlns:a16="http://schemas.microsoft.com/office/drawing/2014/main" id="{09D150DC-5B1E-BD45-96B8-BF996BEE54EC}"/>
                  </a:ext>
                </a:extLst>
              </xdr:cNvPr>
              <xdr:cNvSpPr/>
            </xdr:nvSpPr>
            <xdr:spPr>
              <a:xfrm>
                <a:off x="8934450" y="85725"/>
                <a:ext cx="123825" cy="161925"/>
              </a:xfrm>
              <a:prstGeom prst="chevron">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grpSp>
      </xdr:grpSp>
      <xdr:pic>
        <xdr:nvPicPr>
          <xdr:cNvPr id="9" name="Picture 8">
            <a:extLst>
              <a:ext uri="{FF2B5EF4-FFF2-40B4-BE49-F238E27FC236}">
                <a16:creationId xmlns:a16="http://schemas.microsoft.com/office/drawing/2014/main" id="{213CCFC0-DD22-D7ED-9A3D-97F18E65DACA}"/>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209550" y="57150"/>
            <a:ext cx="260620" cy="238125"/>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12</xdr:row>
      <xdr:rowOff>71437</xdr:rowOff>
    </xdr:from>
    <xdr:to>
      <xdr:col>35</xdr:col>
      <xdr:colOff>76200</xdr:colOff>
      <xdr:row>24</xdr:row>
      <xdr:rowOff>76200</xdr:rowOff>
    </xdr:to>
    <xdr:graphicFrame macro="">
      <xdr:nvGraphicFramePr>
        <xdr:cNvPr id="3" name="Chart 2">
          <a:extLst>
            <a:ext uri="{FF2B5EF4-FFF2-40B4-BE49-F238E27FC236}">
              <a16:creationId xmlns:a16="http://schemas.microsoft.com/office/drawing/2014/main" id="{87833FF3-EE33-664A-1CF0-04AEDF874EC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190500</xdr:colOff>
      <xdr:row>26</xdr:row>
      <xdr:rowOff>33337</xdr:rowOff>
    </xdr:from>
    <xdr:to>
      <xdr:col>13</xdr:col>
      <xdr:colOff>0</xdr:colOff>
      <xdr:row>40</xdr:row>
      <xdr:rowOff>109537</xdr:rowOff>
    </xdr:to>
    <xdr:graphicFrame macro="">
      <xdr:nvGraphicFramePr>
        <xdr:cNvPr id="4" name="Chart 3">
          <a:extLst>
            <a:ext uri="{FF2B5EF4-FFF2-40B4-BE49-F238E27FC236}">
              <a16:creationId xmlns:a16="http://schemas.microsoft.com/office/drawing/2014/main" id="{05F8E793-BB7F-C6E2-1B3A-796B62CD746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127537</xdr:colOff>
      <xdr:row>42</xdr:row>
      <xdr:rowOff>126112</xdr:rowOff>
    </xdr:from>
    <xdr:to>
      <xdr:col>19</xdr:col>
      <xdr:colOff>85107</xdr:colOff>
      <xdr:row>57</xdr:row>
      <xdr:rowOff>11812</xdr:rowOff>
    </xdr:to>
    <xdr:graphicFrame macro="">
      <xdr:nvGraphicFramePr>
        <xdr:cNvPr id="5" name="Chart 4">
          <a:extLst>
            <a:ext uri="{FF2B5EF4-FFF2-40B4-BE49-F238E27FC236}">
              <a16:creationId xmlns:a16="http://schemas.microsoft.com/office/drawing/2014/main" id="{80695DF0-A5CC-BACB-167D-CFFF453AAF6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66674</xdr:colOff>
      <xdr:row>0</xdr:row>
      <xdr:rowOff>34637</xdr:rowOff>
    </xdr:from>
    <xdr:to>
      <xdr:col>52</xdr:col>
      <xdr:colOff>45974</xdr:colOff>
      <xdr:row>1</xdr:row>
      <xdr:rowOff>132137</xdr:rowOff>
    </xdr:to>
    <xdr:grpSp>
      <xdr:nvGrpSpPr>
        <xdr:cNvPr id="13" name="Group 12">
          <a:extLst>
            <a:ext uri="{FF2B5EF4-FFF2-40B4-BE49-F238E27FC236}">
              <a16:creationId xmlns:a16="http://schemas.microsoft.com/office/drawing/2014/main" id="{8855DF92-F21D-44CA-A3DA-1D64C8ACF6D2}"/>
            </a:ext>
          </a:extLst>
        </xdr:cNvPr>
        <xdr:cNvGrpSpPr/>
      </xdr:nvGrpSpPr>
      <xdr:grpSpPr>
        <a:xfrm>
          <a:off x="66674" y="34637"/>
          <a:ext cx="14724000" cy="288000"/>
          <a:chOff x="38099" y="47625"/>
          <a:chExt cx="14639925" cy="266700"/>
        </a:xfrm>
      </xdr:grpSpPr>
      <xdr:sp macro="" textlink="">
        <xdr:nvSpPr>
          <xdr:cNvPr id="14" name="Rectangle: Rounded Corners 13">
            <a:extLst>
              <a:ext uri="{FF2B5EF4-FFF2-40B4-BE49-F238E27FC236}">
                <a16:creationId xmlns:a16="http://schemas.microsoft.com/office/drawing/2014/main" id="{977F1269-B858-3CEB-6C1F-A818AFA7A81B}"/>
              </a:ext>
            </a:extLst>
          </xdr:cNvPr>
          <xdr:cNvSpPr/>
        </xdr:nvSpPr>
        <xdr:spPr>
          <a:xfrm>
            <a:off x="38099" y="47625"/>
            <a:ext cx="14639925" cy="266700"/>
          </a:xfrm>
          <a:prstGeom prst="roundRec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latin typeface="Arial Black" panose="020B0A04020102020204" pitchFamily="34" charset="0"/>
              </a:rPr>
              <a:t>           </a:t>
            </a:r>
            <a:r>
              <a:rPr lang="en-US" sz="1100">
                <a:solidFill>
                  <a:schemeClr val="tx1"/>
                </a:solidFill>
                <a:latin typeface="Arial Black" panose="020B0A04020102020204" pitchFamily="34" charset="0"/>
              </a:rPr>
              <a:t>HARSHIT</a:t>
            </a:r>
            <a:r>
              <a:rPr lang="en-US" sz="1100" baseline="0">
                <a:latin typeface="Arial Black" panose="020B0A04020102020204" pitchFamily="34" charset="0"/>
              </a:rPr>
              <a:t> </a:t>
            </a:r>
            <a:r>
              <a:rPr lang="en-US" sz="1100" baseline="0">
                <a:solidFill>
                  <a:schemeClr val="tx1"/>
                </a:solidFill>
                <a:latin typeface="Arial Black" panose="020B0A04020102020204" pitchFamily="34" charset="0"/>
              </a:rPr>
              <a:t>JONWAL</a:t>
            </a:r>
            <a:endParaRPr lang="en-US" sz="1100">
              <a:solidFill>
                <a:schemeClr val="tx1"/>
              </a:solidFill>
              <a:latin typeface="Arial Black" panose="020B0A04020102020204" pitchFamily="34" charset="0"/>
            </a:endParaRPr>
          </a:p>
        </xdr:txBody>
      </xdr:sp>
      <xdr:grpSp>
        <xdr:nvGrpSpPr>
          <xdr:cNvPr id="15" name="Group 14">
            <a:extLst>
              <a:ext uri="{FF2B5EF4-FFF2-40B4-BE49-F238E27FC236}">
                <a16:creationId xmlns:a16="http://schemas.microsoft.com/office/drawing/2014/main" id="{4035080E-698F-9E8E-63B4-9C1F21871DDF}"/>
              </a:ext>
            </a:extLst>
          </xdr:cNvPr>
          <xdr:cNvGrpSpPr/>
        </xdr:nvGrpSpPr>
        <xdr:grpSpPr>
          <a:xfrm>
            <a:off x="6105525" y="76200"/>
            <a:ext cx="2105025" cy="209550"/>
            <a:chOff x="8782050" y="76200"/>
            <a:chExt cx="1438275" cy="180000"/>
          </a:xfrm>
        </xdr:grpSpPr>
        <xdr:sp macro="" textlink="">
          <xdr:nvSpPr>
            <xdr:cNvPr id="32" name="Rectangle: Rounded Corners 31">
              <a:hlinkClick xmlns:r="http://schemas.openxmlformats.org/officeDocument/2006/relationships" r:id="rId4"/>
              <a:extLst>
                <a:ext uri="{FF2B5EF4-FFF2-40B4-BE49-F238E27FC236}">
                  <a16:creationId xmlns:a16="http://schemas.microsoft.com/office/drawing/2014/main" id="{ACA9E3CD-74E7-92EC-0A91-E2FA479CE5E7}"/>
                </a:ext>
              </a:extLst>
            </xdr:cNvPr>
            <xdr:cNvSpPr/>
          </xdr:nvSpPr>
          <xdr:spPr>
            <a:xfrm>
              <a:off x="8782050" y="76200"/>
              <a:ext cx="1438275" cy="180000"/>
            </a:xfrm>
            <a:prstGeom prst="round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100" b="1">
                  <a:solidFill>
                    <a:schemeClr val="tx1"/>
                  </a:solidFill>
                </a:rPr>
                <a:t>RAW</a:t>
              </a:r>
              <a:r>
                <a:rPr lang="en-US" sz="1100" b="1" baseline="0">
                  <a:solidFill>
                    <a:schemeClr val="tx1"/>
                  </a:solidFill>
                </a:rPr>
                <a:t> DATA</a:t>
              </a:r>
              <a:endParaRPr lang="en-US" sz="1100" b="1">
                <a:solidFill>
                  <a:schemeClr val="tx1"/>
                </a:solidFill>
              </a:endParaRPr>
            </a:p>
          </xdr:txBody>
        </xdr:sp>
        <xdr:grpSp>
          <xdr:nvGrpSpPr>
            <xdr:cNvPr id="33" name="Group 32">
              <a:extLst>
                <a:ext uri="{FF2B5EF4-FFF2-40B4-BE49-F238E27FC236}">
                  <a16:creationId xmlns:a16="http://schemas.microsoft.com/office/drawing/2014/main" id="{9B2A3BC8-199D-5E96-E777-9A10D06B9ED5}"/>
                </a:ext>
              </a:extLst>
            </xdr:cNvPr>
            <xdr:cNvGrpSpPr/>
          </xdr:nvGrpSpPr>
          <xdr:grpSpPr>
            <a:xfrm>
              <a:off x="8839200" y="85725"/>
              <a:ext cx="219075" cy="161925"/>
              <a:chOff x="8839200" y="85725"/>
              <a:chExt cx="219075" cy="161925"/>
            </a:xfrm>
            <a:solidFill>
              <a:schemeClr val="tx1"/>
            </a:solidFill>
          </xdr:grpSpPr>
          <xdr:sp macro="" textlink="">
            <xdr:nvSpPr>
              <xdr:cNvPr id="34" name="Arrow: Chevron 33">
                <a:extLst>
                  <a:ext uri="{FF2B5EF4-FFF2-40B4-BE49-F238E27FC236}">
                    <a16:creationId xmlns:a16="http://schemas.microsoft.com/office/drawing/2014/main" id="{D67FA3F2-CAD3-8ED7-D2AA-557B7DCF1783}"/>
                  </a:ext>
                </a:extLst>
              </xdr:cNvPr>
              <xdr:cNvSpPr/>
            </xdr:nvSpPr>
            <xdr:spPr>
              <a:xfrm>
                <a:off x="8839200" y="85725"/>
                <a:ext cx="123825" cy="161925"/>
              </a:xfrm>
              <a:prstGeom prst="chevron">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sp macro="" textlink="">
            <xdr:nvSpPr>
              <xdr:cNvPr id="35" name="Arrow: Chevron 34">
                <a:extLst>
                  <a:ext uri="{FF2B5EF4-FFF2-40B4-BE49-F238E27FC236}">
                    <a16:creationId xmlns:a16="http://schemas.microsoft.com/office/drawing/2014/main" id="{278AD254-A16F-A023-5105-BE42BCE61310}"/>
                  </a:ext>
                </a:extLst>
              </xdr:cNvPr>
              <xdr:cNvSpPr/>
            </xdr:nvSpPr>
            <xdr:spPr>
              <a:xfrm>
                <a:off x="8934450" y="85725"/>
                <a:ext cx="123825" cy="161925"/>
              </a:xfrm>
              <a:prstGeom prst="chevron">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grpSp>
      </xdr:grpSp>
      <xdr:grpSp>
        <xdr:nvGrpSpPr>
          <xdr:cNvPr id="16" name="Group 15">
            <a:extLst>
              <a:ext uri="{FF2B5EF4-FFF2-40B4-BE49-F238E27FC236}">
                <a16:creationId xmlns:a16="http://schemas.microsoft.com/office/drawing/2014/main" id="{44AA0CB9-A101-77B0-11FB-05A51D8B1188}"/>
              </a:ext>
            </a:extLst>
          </xdr:cNvPr>
          <xdr:cNvGrpSpPr/>
        </xdr:nvGrpSpPr>
        <xdr:grpSpPr>
          <a:xfrm>
            <a:off x="8239125" y="76200"/>
            <a:ext cx="2105025" cy="209550"/>
            <a:chOff x="10248900" y="76200"/>
            <a:chExt cx="1438275" cy="180000"/>
          </a:xfrm>
        </xdr:grpSpPr>
        <xdr:sp macro="" textlink="">
          <xdr:nvSpPr>
            <xdr:cNvPr id="28" name="Rectangle: Rounded Corners 27">
              <a:hlinkClick xmlns:r="http://schemas.openxmlformats.org/officeDocument/2006/relationships" r:id="rId5"/>
              <a:extLst>
                <a:ext uri="{FF2B5EF4-FFF2-40B4-BE49-F238E27FC236}">
                  <a16:creationId xmlns:a16="http://schemas.microsoft.com/office/drawing/2014/main" id="{702B5994-D888-101F-E961-3109E0114ED5}"/>
                </a:ext>
              </a:extLst>
            </xdr:cNvPr>
            <xdr:cNvSpPr/>
          </xdr:nvSpPr>
          <xdr:spPr>
            <a:xfrm>
              <a:off x="10248900" y="76200"/>
              <a:ext cx="1438275" cy="180000"/>
            </a:xfrm>
            <a:prstGeom prst="round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100" b="1">
                  <a:solidFill>
                    <a:schemeClr val="tx1"/>
                  </a:solidFill>
                  <a:latin typeface="+mn-lt"/>
                  <a:ea typeface="+mn-ea"/>
                  <a:cs typeface="+mn-cs"/>
                </a:rPr>
                <a:t>PIVOT</a:t>
              </a:r>
              <a:r>
                <a:rPr lang="en-US" sz="1100" b="1" baseline="0">
                  <a:solidFill>
                    <a:schemeClr val="tx1"/>
                  </a:solidFill>
                  <a:latin typeface="+mn-lt"/>
                  <a:ea typeface="+mn-ea"/>
                  <a:cs typeface="+mn-cs"/>
                </a:rPr>
                <a:t> </a:t>
              </a:r>
              <a:endParaRPr lang="en-US" sz="1100" b="1">
                <a:solidFill>
                  <a:schemeClr val="tx1"/>
                </a:solidFill>
                <a:latin typeface="+mn-lt"/>
                <a:ea typeface="+mn-ea"/>
                <a:cs typeface="+mn-cs"/>
              </a:endParaRPr>
            </a:p>
          </xdr:txBody>
        </xdr:sp>
        <xdr:grpSp>
          <xdr:nvGrpSpPr>
            <xdr:cNvPr id="29" name="Group 28">
              <a:extLst>
                <a:ext uri="{FF2B5EF4-FFF2-40B4-BE49-F238E27FC236}">
                  <a16:creationId xmlns:a16="http://schemas.microsoft.com/office/drawing/2014/main" id="{BCD78667-65CD-AC48-0F80-56C140365145}"/>
                </a:ext>
              </a:extLst>
            </xdr:cNvPr>
            <xdr:cNvGrpSpPr/>
          </xdr:nvGrpSpPr>
          <xdr:grpSpPr>
            <a:xfrm>
              <a:off x="10306050" y="85725"/>
              <a:ext cx="219075" cy="161925"/>
              <a:chOff x="8839200" y="85725"/>
              <a:chExt cx="219075" cy="161925"/>
            </a:xfrm>
            <a:solidFill>
              <a:schemeClr val="tx1"/>
            </a:solidFill>
          </xdr:grpSpPr>
          <xdr:sp macro="" textlink="">
            <xdr:nvSpPr>
              <xdr:cNvPr id="30" name="Arrow: Chevron 29">
                <a:extLst>
                  <a:ext uri="{FF2B5EF4-FFF2-40B4-BE49-F238E27FC236}">
                    <a16:creationId xmlns:a16="http://schemas.microsoft.com/office/drawing/2014/main" id="{066B2AF8-9886-EE32-AA19-0922D738AD6D}"/>
                  </a:ext>
                </a:extLst>
              </xdr:cNvPr>
              <xdr:cNvSpPr/>
            </xdr:nvSpPr>
            <xdr:spPr>
              <a:xfrm>
                <a:off x="8839200" y="85725"/>
                <a:ext cx="123825" cy="161925"/>
              </a:xfrm>
              <a:prstGeom prst="chevron">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sp macro="" textlink="">
            <xdr:nvSpPr>
              <xdr:cNvPr id="31" name="Arrow: Chevron 30">
                <a:extLst>
                  <a:ext uri="{FF2B5EF4-FFF2-40B4-BE49-F238E27FC236}">
                    <a16:creationId xmlns:a16="http://schemas.microsoft.com/office/drawing/2014/main" id="{4F8D832A-C14C-2D2B-7FF5-C0EEE5834056}"/>
                  </a:ext>
                </a:extLst>
              </xdr:cNvPr>
              <xdr:cNvSpPr/>
            </xdr:nvSpPr>
            <xdr:spPr>
              <a:xfrm>
                <a:off x="8934450" y="85725"/>
                <a:ext cx="123825" cy="161925"/>
              </a:xfrm>
              <a:prstGeom prst="chevron">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grpSp>
      </xdr:grpSp>
      <xdr:grpSp>
        <xdr:nvGrpSpPr>
          <xdr:cNvPr id="17" name="Group 16">
            <a:extLst>
              <a:ext uri="{FF2B5EF4-FFF2-40B4-BE49-F238E27FC236}">
                <a16:creationId xmlns:a16="http://schemas.microsoft.com/office/drawing/2014/main" id="{F39DEA87-4679-3F47-700A-D7B01DA68BE2}"/>
              </a:ext>
            </a:extLst>
          </xdr:cNvPr>
          <xdr:cNvGrpSpPr/>
        </xdr:nvGrpSpPr>
        <xdr:grpSpPr>
          <a:xfrm>
            <a:off x="10372725" y="76200"/>
            <a:ext cx="2105025" cy="209550"/>
            <a:chOff x="11706225" y="76200"/>
            <a:chExt cx="1438275" cy="180000"/>
          </a:xfrm>
        </xdr:grpSpPr>
        <xdr:sp macro="" textlink="">
          <xdr:nvSpPr>
            <xdr:cNvPr id="24" name="Rectangle: Rounded Corners 23">
              <a:hlinkClick xmlns:r="http://schemas.openxmlformats.org/officeDocument/2006/relationships" r:id="rId6"/>
              <a:extLst>
                <a:ext uri="{FF2B5EF4-FFF2-40B4-BE49-F238E27FC236}">
                  <a16:creationId xmlns:a16="http://schemas.microsoft.com/office/drawing/2014/main" id="{CFF9B472-CB4A-C858-25E5-A199989C2BAE}"/>
                </a:ext>
              </a:extLst>
            </xdr:cNvPr>
            <xdr:cNvSpPr/>
          </xdr:nvSpPr>
          <xdr:spPr>
            <a:xfrm>
              <a:off x="11706225" y="76200"/>
              <a:ext cx="1438275" cy="180000"/>
            </a:xfrm>
            <a:prstGeom prst="round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100" b="1">
                  <a:solidFill>
                    <a:schemeClr val="tx1"/>
                  </a:solidFill>
                  <a:latin typeface="+mn-lt"/>
                  <a:ea typeface="+mn-ea"/>
                  <a:cs typeface="+mn-cs"/>
                </a:rPr>
                <a:t>SALES</a:t>
              </a:r>
              <a:r>
                <a:rPr lang="en-US" sz="1100" b="1" baseline="0">
                  <a:solidFill>
                    <a:schemeClr val="tx1"/>
                  </a:solidFill>
                  <a:latin typeface="+mn-lt"/>
                  <a:ea typeface="+mn-ea"/>
                  <a:cs typeface="+mn-cs"/>
                </a:rPr>
                <a:t> DASHBOARD</a:t>
              </a:r>
              <a:endParaRPr lang="en-US" sz="1100" b="1">
                <a:solidFill>
                  <a:schemeClr val="tx1"/>
                </a:solidFill>
                <a:latin typeface="+mn-lt"/>
                <a:ea typeface="+mn-ea"/>
                <a:cs typeface="+mn-cs"/>
              </a:endParaRPr>
            </a:p>
          </xdr:txBody>
        </xdr:sp>
        <xdr:grpSp>
          <xdr:nvGrpSpPr>
            <xdr:cNvPr id="25" name="Group 24">
              <a:extLst>
                <a:ext uri="{FF2B5EF4-FFF2-40B4-BE49-F238E27FC236}">
                  <a16:creationId xmlns:a16="http://schemas.microsoft.com/office/drawing/2014/main" id="{D5D053A2-2A9C-5083-73F5-89F5F1D630C5}"/>
                </a:ext>
              </a:extLst>
            </xdr:cNvPr>
            <xdr:cNvGrpSpPr/>
          </xdr:nvGrpSpPr>
          <xdr:grpSpPr>
            <a:xfrm>
              <a:off x="11772900" y="85725"/>
              <a:ext cx="219075" cy="161925"/>
              <a:chOff x="8839200" y="85725"/>
              <a:chExt cx="219075" cy="161925"/>
            </a:xfrm>
            <a:solidFill>
              <a:schemeClr val="tx1"/>
            </a:solidFill>
          </xdr:grpSpPr>
          <xdr:sp macro="" textlink="">
            <xdr:nvSpPr>
              <xdr:cNvPr id="26" name="Arrow: Chevron 25">
                <a:extLst>
                  <a:ext uri="{FF2B5EF4-FFF2-40B4-BE49-F238E27FC236}">
                    <a16:creationId xmlns:a16="http://schemas.microsoft.com/office/drawing/2014/main" id="{AE958ED2-B609-7A44-FA34-F49E8EF27408}"/>
                  </a:ext>
                </a:extLst>
              </xdr:cNvPr>
              <xdr:cNvSpPr/>
            </xdr:nvSpPr>
            <xdr:spPr>
              <a:xfrm>
                <a:off x="8839200" y="85725"/>
                <a:ext cx="123825" cy="161925"/>
              </a:xfrm>
              <a:prstGeom prst="chevron">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sp macro="" textlink="">
            <xdr:nvSpPr>
              <xdr:cNvPr id="27" name="Arrow: Chevron 26">
                <a:extLst>
                  <a:ext uri="{FF2B5EF4-FFF2-40B4-BE49-F238E27FC236}">
                    <a16:creationId xmlns:a16="http://schemas.microsoft.com/office/drawing/2014/main" id="{3FE758F8-80D0-0D0A-A319-B03E8E7F30BB}"/>
                  </a:ext>
                </a:extLst>
              </xdr:cNvPr>
              <xdr:cNvSpPr/>
            </xdr:nvSpPr>
            <xdr:spPr>
              <a:xfrm>
                <a:off x="8934450" y="85725"/>
                <a:ext cx="123825" cy="161925"/>
              </a:xfrm>
              <a:prstGeom prst="chevron">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grpSp>
      </xdr:grpSp>
      <xdr:grpSp>
        <xdr:nvGrpSpPr>
          <xdr:cNvPr id="18" name="Group 17">
            <a:extLst>
              <a:ext uri="{FF2B5EF4-FFF2-40B4-BE49-F238E27FC236}">
                <a16:creationId xmlns:a16="http://schemas.microsoft.com/office/drawing/2014/main" id="{05D1C53E-FD79-0F88-3022-AB45E254AF47}"/>
              </a:ext>
            </a:extLst>
          </xdr:cNvPr>
          <xdr:cNvGrpSpPr/>
        </xdr:nvGrpSpPr>
        <xdr:grpSpPr>
          <a:xfrm>
            <a:off x="12505524" y="76200"/>
            <a:ext cx="2107550" cy="209550"/>
            <a:chOff x="13173074" y="76200"/>
            <a:chExt cx="1440000" cy="180000"/>
          </a:xfrm>
        </xdr:grpSpPr>
        <xdr:sp macro="" textlink="">
          <xdr:nvSpPr>
            <xdr:cNvPr id="20" name="Rectangle: Rounded Corners 19">
              <a:hlinkClick xmlns:r="http://schemas.openxmlformats.org/officeDocument/2006/relationships" r:id="rId7"/>
              <a:extLst>
                <a:ext uri="{FF2B5EF4-FFF2-40B4-BE49-F238E27FC236}">
                  <a16:creationId xmlns:a16="http://schemas.microsoft.com/office/drawing/2014/main" id="{64D95AFC-6539-6E34-257A-9D343DC4DFC8}"/>
                </a:ext>
              </a:extLst>
            </xdr:cNvPr>
            <xdr:cNvSpPr/>
          </xdr:nvSpPr>
          <xdr:spPr>
            <a:xfrm>
              <a:off x="13173074" y="76200"/>
              <a:ext cx="1440000" cy="180000"/>
            </a:xfrm>
            <a:prstGeom prst="round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r"/>
              <a:r>
                <a:rPr lang="en-US" sz="1100" b="1">
                  <a:solidFill>
                    <a:schemeClr val="tx1"/>
                  </a:solidFill>
                  <a:latin typeface="+mn-lt"/>
                  <a:ea typeface="+mn-ea"/>
                  <a:cs typeface="+mn-cs"/>
                </a:rPr>
                <a:t>REAGION</a:t>
              </a:r>
              <a:r>
                <a:rPr lang="en-US" sz="1100" b="1" baseline="0">
                  <a:solidFill>
                    <a:schemeClr val="tx1"/>
                  </a:solidFill>
                  <a:latin typeface="+mn-lt"/>
                  <a:ea typeface="+mn-ea"/>
                  <a:cs typeface="+mn-cs"/>
                </a:rPr>
                <a:t> DASHBOARD</a:t>
              </a:r>
              <a:endParaRPr lang="en-US" sz="1100" b="1">
                <a:solidFill>
                  <a:schemeClr val="tx1"/>
                </a:solidFill>
                <a:latin typeface="+mn-lt"/>
                <a:ea typeface="+mn-ea"/>
                <a:cs typeface="+mn-cs"/>
              </a:endParaRPr>
            </a:p>
          </xdr:txBody>
        </xdr:sp>
        <xdr:grpSp>
          <xdr:nvGrpSpPr>
            <xdr:cNvPr id="21" name="Group 20">
              <a:extLst>
                <a:ext uri="{FF2B5EF4-FFF2-40B4-BE49-F238E27FC236}">
                  <a16:creationId xmlns:a16="http://schemas.microsoft.com/office/drawing/2014/main" id="{D6CDC1C3-C29F-50DC-F662-7ADC79E7CAA4}"/>
                </a:ext>
              </a:extLst>
            </xdr:cNvPr>
            <xdr:cNvGrpSpPr/>
          </xdr:nvGrpSpPr>
          <xdr:grpSpPr>
            <a:xfrm>
              <a:off x="13239750" y="85725"/>
              <a:ext cx="219075" cy="161925"/>
              <a:chOff x="8839200" y="85725"/>
              <a:chExt cx="219075" cy="161925"/>
            </a:xfrm>
            <a:solidFill>
              <a:schemeClr val="tx1"/>
            </a:solidFill>
          </xdr:grpSpPr>
          <xdr:sp macro="" textlink="">
            <xdr:nvSpPr>
              <xdr:cNvPr id="22" name="Arrow: Chevron 21">
                <a:extLst>
                  <a:ext uri="{FF2B5EF4-FFF2-40B4-BE49-F238E27FC236}">
                    <a16:creationId xmlns:a16="http://schemas.microsoft.com/office/drawing/2014/main" id="{FD563C02-AF11-D034-704F-A119743197EA}"/>
                  </a:ext>
                </a:extLst>
              </xdr:cNvPr>
              <xdr:cNvSpPr/>
            </xdr:nvSpPr>
            <xdr:spPr>
              <a:xfrm>
                <a:off x="8839200" y="85725"/>
                <a:ext cx="123825" cy="161925"/>
              </a:xfrm>
              <a:prstGeom prst="chevron">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sp macro="" textlink="">
            <xdr:nvSpPr>
              <xdr:cNvPr id="23" name="Arrow: Chevron 22">
                <a:extLst>
                  <a:ext uri="{FF2B5EF4-FFF2-40B4-BE49-F238E27FC236}">
                    <a16:creationId xmlns:a16="http://schemas.microsoft.com/office/drawing/2014/main" id="{1C7EECB0-6D8B-04BE-8020-0075DEB39FAB}"/>
                  </a:ext>
                </a:extLst>
              </xdr:cNvPr>
              <xdr:cNvSpPr/>
            </xdr:nvSpPr>
            <xdr:spPr>
              <a:xfrm>
                <a:off x="8934450" y="85725"/>
                <a:ext cx="123825" cy="161925"/>
              </a:xfrm>
              <a:prstGeom prst="chevron">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grpSp>
      </xdr:grpSp>
      <xdr:pic>
        <xdr:nvPicPr>
          <xdr:cNvPr id="19" name="Picture 18">
            <a:extLst>
              <a:ext uri="{FF2B5EF4-FFF2-40B4-BE49-F238E27FC236}">
                <a16:creationId xmlns:a16="http://schemas.microsoft.com/office/drawing/2014/main" id="{DF3C380C-E2E7-1C92-0B05-53180F21738A}"/>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209550" y="57150"/>
            <a:ext cx="260620" cy="238125"/>
          </a:xfrm>
          <a:prstGeom prst="rect">
            <a:avLst/>
          </a:prstGeom>
        </xdr:spPr>
      </xdr:pic>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43963</xdr:colOff>
      <xdr:row>9</xdr:row>
      <xdr:rowOff>47625</xdr:rowOff>
    </xdr:from>
    <xdr:to>
      <xdr:col>2</xdr:col>
      <xdr:colOff>0</xdr:colOff>
      <xdr:row>21</xdr:row>
      <xdr:rowOff>9525</xdr:rowOff>
    </xdr:to>
    <xdr:graphicFrame macro="">
      <xdr:nvGraphicFramePr>
        <xdr:cNvPr id="4" name="Chart 3">
          <a:extLst>
            <a:ext uri="{FF2B5EF4-FFF2-40B4-BE49-F238E27FC236}">
              <a16:creationId xmlns:a16="http://schemas.microsoft.com/office/drawing/2014/main" id="{9A2422D2-059E-F33F-BDCB-527ADF02511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7328</xdr:colOff>
      <xdr:row>9</xdr:row>
      <xdr:rowOff>46160</xdr:rowOff>
    </xdr:from>
    <xdr:to>
      <xdr:col>7</xdr:col>
      <xdr:colOff>1495425</xdr:colOff>
      <xdr:row>21</xdr:row>
      <xdr:rowOff>0</xdr:rowOff>
    </xdr:to>
    <xdr:graphicFrame macro="">
      <xdr:nvGraphicFramePr>
        <xdr:cNvPr id="5" name="Chart 4">
          <a:extLst>
            <a:ext uri="{FF2B5EF4-FFF2-40B4-BE49-F238E27FC236}">
              <a16:creationId xmlns:a16="http://schemas.microsoft.com/office/drawing/2014/main" id="{B4EDB6D5-053B-C484-9CF3-6774E426021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xdr:colOff>
      <xdr:row>9</xdr:row>
      <xdr:rowOff>38100</xdr:rowOff>
    </xdr:from>
    <xdr:to>
      <xdr:col>11</xdr:col>
      <xdr:colOff>1</xdr:colOff>
      <xdr:row>21</xdr:row>
      <xdr:rowOff>0</xdr:rowOff>
    </xdr:to>
    <xdr:graphicFrame macro="">
      <xdr:nvGraphicFramePr>
        <xdr:cNvPr id="7" name="Chart 6">
          <a:extLst>
            <a:ext uri="{FF2B5EF4-FFF2-40B4-BE49-F238E27FC236}">
              <a16:creationId xmlns:a16="http://schemas.microsoft.com/office/drawing/2014/main" id="{E109B93A-B4C0-B074-39FC-C828724018A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19707</xdr:colOff>
      <xdr:row>9</xdr:row>
      <xdr:rowOff>47625</xdr:rowOff>
    </xdr:from>
    <xdr:to>
      <xdr:col>5</xdr:col>
      <xdr:colOff>9525</xdr:colOff>
      <xdr:row>21</xdr:row>
      <xdr:rowOff>9524</xdr:rowOff>
    </xdr:to>
    <xdr:graphicFrame macro="">
      <xdr:nvGraphicFramePr>
        <xdr:cNvPr id="3" name="Chart 2">
          <a:extLst>
            <a:ext uri="{FF2B5EF4-FFF2-40B4-BE49-F238E27FC236}">
              <a16:creationId xmlns:a16="http://schemas.microsoft.com/office/drawing/2014/main" id="{F271F994-1B7F-A54B-8735-135978F2A5A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9525</xdr:colOff>
      <xdr:row>0</xdr:row>
      <xdr:rowOff>390525</xdr:rowOff>
    </xdr:from>
    <xdr:to>
      <xdr:col>11</xdr:col>
      <xdr:colOff>9525</xdr:colOff>
      <xdr:row>2</xdr:row>
      <xdr:rowOff>98625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AFDD0F47-5840-A071-6F3B-7B1D13471646}"/>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9525" y="390525"/>
              <a:ext cx="14716125" cy="432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85725</xdr:colOff>
      <xdr:row>2</xdr:row>
      <xdr:rowOff>152400</xdr:rowOff>
    </xdr:from>
    <xdr:to>
      <xdr:col>1</xdr:col>
      <xdr:colOff>1704975</xdr:colOff>
      <xdr:row>2</xdr:row>
      <xdr:rowOff>333375</xdr:rowOff>
    </xdr:to>
    <xdr:grpSp>
      <xdr:nvGrpSpPr>
        <xdr:cNvPr id="9" name="Group 8">
          <a:extLst>
            <a:ext uri="{FF2B5EF4-FFF2-40B4-BE49-F238E27FC236}">
              <a16:creationId xmlns:a16="http://schemas.microsoft.com/office/drawing/2014/main" id="{251F01B9-4EC5-8E2A-E98A-C8AA548F5D16}"/>
            </a:ext>
          </a:extLst>
        </xdr:cNvPr>
        <xdr:cNvGrpSpPr/>
      </xdr:nvGrpSpPr>
      <xdr:grpSpPr>
        <a:xfrm>
          <a:off x="85725" y="876300"/>
          <a:ext cx="3429000" cy="180975"/>
          <a:chOff x="85725" y="533400"/>
          <a:chExt cx="3743325" cy="180975"/>
        </a:xfrm>
      </xdr:grpSpPr>
      <xdr:sp macro="" textlink="">
        <xdr:nvSpPr>
          <xdr:cNvPr id="8" name="Speech Bubble: Rectangle with Corners Rounded 7">
            <a:extLst>
              <a:ext uri="{FF2B5EF4-FFF2-40B4-BE49-F238E27FC236}">
                <a16:creationId xmlns:a16="http://schemas.microsoft.com/office/drawing/2014/main" id="{D7FBBA2C-3C93-DC31-F275-A11F20D6D004}"/>
              </a:ext>
            </a:extLst>
          </xdr:cNvPr>
          <xdr:cNvSpPr/>
        </xdr:nvSpPr>
        <xdr:spPr>
          <a:xfrm>
            <a:off x="85725" y="533400"/>
            <a:ext cx="3743325" cy="180975"/>
          </a:xfrm>
          <a:prstGeom prst="wedgeRoundRectCallout">
            <a:avLst>
              <a:gd name="adj1" fmla="val -19560"/>
              <a:gd name="adj2" fmla="val 109869"/>
              <a:gd name="adj3" fmla="val 16667"/>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85725" y="533400"/>
                <a:ext cx="3733800" cy="1714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DashBord 1</a:t>
                </a:r>
              </a:p>
            </xdr:txBody>
          </xdr:sp>
        </mc:Choice>
        <mc:Fallback/>
      </mc:AlternateContent>
    </xdr:grpSp>
    <xdr:clientData/>
  </xdr:twoCellAnchor>
  <xdr:twoCellAnchor>
    <xdr:from>
      <xdr:col>3</xdr:col>
      <xdr:colOff>19050</xdr:colOff>
      <xdr:row>2</xdr:row>
      <xdr:rowOff>133350</xdr:rowOff>
    </xdr:from>
    <xdr:to>
      <xdr:col>5</xdr:col>
      <xdr:colOff>9525</xdr:colOff>
      <xdr:row>2</xdr:row>
      <xdr:rowOff>304800</xdr:rowOff>
    </xdr:to>
    <xdr:grpSp>
      <xdr:nvGrpSpPr>
        <xdr:cNvPr id="10" name="Group 9">
          <a:extLst>
            <a:ext uri="{FF2B5EF4-FFF2-40B4-BE49-F238E27FC236}">
              <a16:creationId xmlns:a16="http://schemas.microsoft.com/office/drawing/2014/main" id="{6E73175C-6388-9D19-2EB9-6A38C4072CCA}"/>
            </a:ext>
          </a:extLst>
        </xdr:cNvPr>
        <xdr:cNvGrpSpPr/>
      </xdr:nvGrpSpPr>
      <xdr:grpSpPr>
        <a:xfrm>
          <a:off x="3743325" y="857250"/>
          <a:ext cx="3609975" cy="171450"/>
          <a:chOff x="85725" y="533400"/>
          <a:chExt cx="3743325" cy="180975"/>
        </a:xfrm>
      </xdr:grpSpPr>
      <xdr:sp macro="" textlink="">
        <xdr:nvSpPr>
          <xdr:cNvPr id="11" name="Speech Bubble: Rectangle with Corners Rounded 10">
            <a:extLst>
              <a:ext uri="{FF2B5EF4-FFF2-40B4-BE49-F238E27FC236}">
                <a16:creationId xmlns:a16="http://schemas.microsoft.com/office/drawing/2014/main" id="{773F7018-6874-1533-428D-BB23165A4A40}"/>
              </a:ext>
            </a:extLst>
          </xdr:cNvPr>
          <xdr:cNvSpPr/>
        </xdr:nvSpPr>
        <xdr:spPr>
          <a:xfrm>
            <a:off x="85725" y="533400"/>
            <a:ext cx="3743325" cy="180975"/>
          </a:xfrm>
          <a:prstGeom prst="wedgeRoundRectCallout">
            <a:avLst>
              <a:gd name="adj1" fmla="val -19560"/>
              <a:gd name="adj2" fmla="val 109869"/>
              <a:gd name="adj3" fmla="val 16667"/>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200-000002040000}"/>
                  </a:ext>
                </a:extLst>
              </xdr:cNvPr>
              <xdr:cNvSpPr/>
            </xdr:nvSpPr>
            <xdr:spPr bwMode="auto">
              <a:xfrm>
                <a:off x="85725" y="533400"/>
                <a:ext cx="3733800" cy="1714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DashBord 2</a:t>
                </a:r>
              </a:p>
            </xdr:txBody>
          </xdr:sp>
        </mc:Choice>
        <mc:Fallback/>
      </mc:AlternateContent>
    </xdr:grpSp>
    <xdr:clientData/>
  </xdr:twoCellAnchor>
  <xdr:twoCellAnchor>
    <xdr:from>
      <xdr:col>6</xdr:col>
      <xdr:colOff>38100</xdr:colOff>
      <xdr:row>2</xdr:row>
      <xdr:rowOff>133350</xdr:rowOff>
    </xdr:from>
    <xdr:to>
      <xdr:col>8</xdr:col>
      <xdr:colOff>0</xdr:colOff>
      <xdr:row>2</xdr:row>
      <xdr:rowOff>304800</xdr:rowOff>
    </xdr:to>
    <xdr:grpSp>
      <xdr:nvGrpSpPr>
        <xdr:cNvPr id="12" name="Group 11">
          <a:extLst>
            <a:ext uri="{FF2B5EF4-FFF2-40B4-BE49-F238E27FC236}">
              <a16:creationId xmlns:a16="http://schemas.microsoft.com/office/drawing/2014/main" id="{FD0625B9-1F09-4729-B9A4-8E9E1216C0FC}"/>
            </a:ext>
          </a:extLst>
        </xdr:cNvPr>
        <xdr:cNvGrpSpPr/>
      </xdr:nvGrpSpPr>
      <xdr:grpSpPr>
        <a:xfrm>
          <a:off x="7448550" y="857250"/>
          <a:ext cx="3581400" cy="171450"/>
          <a:chOff x="85725" y="533400"/>
          <a:chExt cx="3743325" cy="180975"/>
        </a:xfrm>
      </xdr:grpSpPr>
      <xdr:sp macro="" textlink="">
        <xdr:nvSpPr>
          <xdr:cNvPr id="13" name="Speech Bubble: Rectangle with Corners Rounded 12">
            <a:extLst>
              <a:ext uri="{FF2B5EF4-FFF2-40B4-BE49-F238E27FC236}">
                <a16:creationId xmlns:a16="http://schemas.microsoft.com/office/drawing/2014/main" id="{B36E6DA0-0E98-E1E8-E195-784336581EAE}"/>
              </a:ext>
            </a:extLst>
          </xdr:cNvPr>
          <xdr:cNvSpPr/>
        </xdr:nvSpPr>
        <xdr:spPr>
          <a:xfrm>
            <a:off x="85725" y="533400"/>
            <a:ext cx="3743325" cy="180975"/>
          </a:xfrm>
          <a:prstGeom prst="wedgeRoundRectCallout">
            <a:avLst>
              <a:gd name="adj1" fmla="val -19560"/>
              <a:gd name="adj2" fmla="val 109869"/>
              <a:gd name="adj3" fmla="val 16667"/>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200-000003040000}"/>
                  </a:ext>
                </a:extLst>
              </xdr:cNvPr>
              <xdr:cNvSpPr/>
            </xdr:nvSpPr>
            <xdr:spPr bwMode="auto">
              <a:xfrm>
                <a:off x="85725" y="533400"/>
                <a:ext cx="3733799" cy="1714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DashBord 3</a:t>
                </a:r>
              </a:p>
            </xdr:txBody>
          </xdr:sp>
        </mc:Choice>
        <mc:Fallback/>
      </mc:AlternateContent>
    </xdr:grpSp>
    <xdr:clientData/>
  </xdr:twoCellAnchor>
  <xdr:twoCellAnchor>
    <xdr:from>
      <xdr:col>9</xdr:col>
      <xdr:colOff>9525</xdr:colOff>
      <xdr:row>2</xdr:row>
      <xdr:rowOff>133350</xdr:rowOff>
    </xdr:from>
    <xdr:to>
      <xdr:col>11</xdr:col>
      <xdr:colOff>28575</xdr:colOff>
      <xdr:row>2</xdr:row>
      <xdr:rowOff>323850</xdr:rowOff>
    </xdr:to>
    <xdr:grpSp>
      <xdr:nvGrpSpPr>
        <xdr:cNvPr id="14" name="Group 13">
          <a:extLst>
            <a:ext uri="{FF2B5EF4-FFF2-40B4-BE49-F238E27FC236}">
              <a16:creationId xmlns:a16="http://schemas.microsoft.com/office/drawing/2014/main" id="{5946CE73-0C04-5370-10EC-64DD71651C72}"/>
            </a:ext>
          </a:extLst>
        </xdr:cNvPr>
        <xdr:cNvGrpSpPr/>
      </xdr:nvGrpSpPr>
      <xdr:grpSpPr>
        <a:xfrm>
          <a:off x="11106150" y="857250"/>
          <a:ext cx="3638550" cy="190500"/>
          <a:chOff x="85725" y="533400"/>
          <a:chExt cx="3743325" cy="180975"/>
        </a:xfrm>
      </xdr:grpSpPr>
      <xdr:sp macro="" textlink="">
        <xdr:nvSpPr>
          <xdr:cNvPr id="15" name="Speech Bubble: Rectangle with Corners Rounded 14">
            <a:extLst>
              <a:ext uri="{FF2B5EF4-FFF2-40B4-BE49-F238E27FC236}">
                <a16:creationId xmlns:a16="http://schemas.microsoft.com/office/drawing/2014/main" id="{0EAAFD78-3B43-3900-96E8-E3F4252CDF61}"/>
              </a:ext>
            </a:extLst>
          </xdr:cNvPr>
          <xdr:cNvSpPr/>
        </xdr:nvSpPr>
        <xdr:spPr>
          <a:xfrm>
            <a:off x="85725" y="533400"/>
            <a:ext cx="3743325" cy="180975"/>
          </a:xfrm>
          <a:prstGeom prst="wedgeRoundRectCallout">
            <a:avLst>
              <a:gd name="adj1" fmla="val -19560"/>
              <a:gd name="adj2" fmla="val 109869"/>
              <a:gd name="adj3" fmla="val 16667"/>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200-000004040000}"/>
                  </a:ext>
                </a:extLst>
              </xdr:cNvPr>
              <xdr:cNvSpPr/>
            </xdr:nvSpPr>
            <xdr:spPr bwMode="auto">
              <a:xfrm>
                <a:off x="85725" y="533400"/>
                <a:ext cx="3733800" cy="1714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DashBord 4</a:t>
                </a:r>
              </a:p>
            </xdr:txBody>
          </xdr:sp>
        </mc:Choice>
        <mc:Fallback/>
      </mc:AlternateContent>
    </xdr:grpSp>
    <xdr:clientData/>
  </xdr:twoCellAnchor>
  <xdr:twoCellAnchor>
    <xdr:from>
      <xdr:col>0</xdr:col>
      <xdr:colOff>38098</xdr:colOff>
      <xdr:row>0</xdr:row>
      <xdr:rowOff>38100</xdr:rowOff>
    </xdr:from>
    <xdr:to>
      <xdr:col>11</xdr:col>
      <xdr:colOff>45973</xdr:colOff>
      <xdr:row>0</xdr:row>
      <xdr:rowOff>326100</xdr:rowOff>
    </xdr:to>
    <xdr:grpSp>
      <xdr:nvGrpSpPr>
        <xdr:cNvPr id="1038" name="Group 1037">
          <a:extLst>
            <a:ext uri="{FF2B5EF4-FFF2-40B4-BE49-F238E27FC236}">
              <a16:creationId xmlns:a16="http://schemas.microsoft.com/office/drawing/2014/main" id="{482C428B-9EF8-FA73-6E9D-A21220066341}"/>
            </a:ext>
          </a:extLst>
        </xdr:cNvPr>
        <xdr:cNvGrpSpPr/>
      </xdr:nvGrpSpPr>
      <xdr:grpSpPr>
        <a:xfrm>
          <a:off x="38098" y="38100"/>
          <a:ext cx="14724000" cy="288000"/>
          <a:chOff x="38099" y="47625"/>
          <a:chExt cx="14639925" cy="266700"/>
        </a:xfrm>
      </xdr:grpSpPr>
      <xdr:sp macro="" textlink="">
        <xdr:nvSpPr>
          <xdr:cNvPr id="2" name="Rectangle: Rounded Corners 1">
            <a:extLst>
              <a:ext uri="{FF2B5EF4-FFF2-40B4-BE49-F238E27FC236}">
                <a16:creationId xmlns:a16="http://schemas.microsoft.com/office/drawing/2014/main" id="{F9EC0A00-F462-CD15-AAE2-49F98E7ADFAF}"/>
              </a:ext>
            </a:extLst>
          </xdr:cNvPr>
          <xdr:cNvSpPr/>
        </xdr:nvSpPr>
        <xdr:spPr>
          <a:xfrm>
            <a:off x="38099" y="47625"/>
            <a:ext cx="14639925" cy="266700"/>
          </a:xfrm>
          <a:prstGeom prst="roundRec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latin typeface="Arial Black" panose="020B0A04020102020204" pitchFamily="34" charset="0"/>
              </a:rPr>
              <a:t>           </a:t>
            </a:r>
            <a:r>
              <a:rPr lang="en-US" sz="1100">
                <a:solidFill>
                  <a:schemeClr val="tx1"/>
                </a:solidFill>
                <a:latin typeface="Arial Black" panose="020B0A04020102020204" pitchFamily="34" charset="0"/>
              </a:rPr>
              <a:t>HARSHIT</a:t>
            </a:r>
            <a:r>
              <a:rPr lang="en-US" sz="1100" baseline="0">
                <a:latin typeface="Arial Black" panose="020B0A04020102020204" pitchFamily="34" charset="0"/>
              </a:rPr>
              <a:t> </a:t>
            </a:r>
            <a:r>
              <a:rPr lang="en-US" sz="1100" baseline="0">
                <a:solidFill>
                  <a:schemeClr val="tx1"/>
                </a:solidFill>
                <a:latin typeface="Arial Black" panose="020B0A04020102020204" pitchFamily="34" charset="0"/>
              </a:rPr>
              <a:t>JONWAL</a:t>
            </a:r>
            <a:endParaRPr lang="en-US" sz="1100">
              <a:solidFill>
                <a:schemeClr val="tx1"/>
              </a:solidFill>
              <a:latin typeface="Arial Black" panose="020B0A04020102020204" pitchFamily="34" charset="0"/>
            </a:endParaRPr>
          </a:p>
        </xdr:txBody>
      </xdr:sp>
      <xdr:grpSp>
        <xdr:nvGrpSpPr>
          <xdr:cNvPr id="1034" name="Group 1033">
            <a:extLst>
              <a:ext uri="{FF2B5EF4-FFF2-40B4-BE49-F238E27FC236}">
                <a16:creationId xmlns:a16="http://schemas.microsoft.com/office/drawing/2014/main" id="{90714666-CD35-90C6-C320-9D3722BF5708}"/>
              </a:ext>
            </a:extLst>
          </xdr:cNvPr>
          <xdr:cNvGrpSpPr/>
        </xdr:nvGrpSpPr>
        <xdr:grpSpPr>
          <a:xfrm>
            <a:off x="6105525" y="76200"/>
            <a:ext cx="2105025" cy="209550"/>
            <a:chOff x="8782050" y="76200"/>
            <a:chExt cx="1438275" cy="180000"/>
          </a:xfrm>
        </xdr:grpSpPr>
        <xdr:sp macro="" textlink="">
          <xdr:nvSpPr>
            <xdr:cNvPr id="16" name="Rectangle: Rounded Corners 15">
              <a:hlinkClick xmlns:r="http://schemas.openxmlformats.org/officeDocument/2006/relationships" r:id="rId5"/>
              <a:extLst>
                <a:ext uri="{FF2B5EF4-FFF2-40B4-BE49-F238E27FC236}">
                  <a16:creationId xmlns:a16="http://schemas.microsoft.com/office/drawing/2014/main" id="{DCBF004B-10CF-6499-E816-1D21C9DAA9BE}"/>
                </a:ext>
              </a:extLst>
            </xdr:cNvPr>
            <xdr:cNvSpPr/>
          </xdr:nvSpPr>
          <xdr:spPr>
            <a:xfrm>
              <a:off x="8782050" y="76200"/>
              <a:ext cx="1438275" cy="180000"/>
            </a:xfrm>
            <a:prstGeom prst="round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100" b="1">
                  <a:solidFill>
                    <a:schemeClr val="tx1"/>
                  </a:solidFill>
                </a:rPr>
                <a:t>RAW</a:t>
              </a:r>
              <a:r>
                <a:rPr lang="en-US" sz="1100" b="1" baseline="0">
                  <a:solidFill>
                    <a:schemeClr val="tx1"/>
                  </a:solidFill>
                </a:rPr>
                <a:t> DATA</a:t>
              </a:r>
              <a:endParaRPr lang="en-US" sz="1100" b="1">
                <a:solidFill>
                  <a:schemeClr val="tx1"/>
                </a:solidFill>
              </a:endParaRPr>
            </a:p>
          </xdr:txBody>
        </xdr:sp>
        <xdr:grpSp>
          <xdr:nvGrpSpPr>
            <xdr:cNvPr id="24" name="Group 23">
              <a:extLst>
                <a:ext uri="{FF2B5EF4-FFF2-40B4-BE49-F238E27FC236}">
                  <a16:creationId xmlns:a16="http://schemas.microsoft.com/office/drawing/2014/main" id="{6F6BC246-1FB2-BAEE-A052-45EA6F0188CA}"/>
                </a:ext>
              </a:extLst>
            </xdr:cNvPr>
            <xdr:cNvGrpSpPr/>
          </xdr:nvGrpSpPr>
          <xdr:grpSpPr>
            <a:xfrm>
              <a:off x="8839200" y="85725"/>
              <a:ext cx="219075" cy="161925"/>
              <a:chOff x="8839200" y="85725"/>
              <a:chExt cx="219075" cy="161925"/>
            </a:xfrm>
            <a:solidFill>
              <a:schemeClr val="tx1"/>
            </a:solidFill>
          </xdr:grpSpPr>
          <xdr:sp macro="" textlink="">
            <xdr:nvSpPr>
              <xdr:cNvPr id="22" name="Arrow: Chevron 21">
                <a:extLst>
                  <a:ext uri="{FF2B5EF4-FFF2-40B4-BE49-F238E27FC236}">
                    <a16:creationId xmlns:a16="http://schemas.microsoft.com/office/drawing/2014/main" id="{D0F65C28-2AB8-9BE5-0B0E-4B319433680D}"/>
                  </a:ext>
                </a:extLst>
              </xdr:cNvPr>
              <xdr:cNvSpPr/>
            </xdr:nvSpPr>
            <xdr:spPr>
              <a:xfrm>
                <a:off x="8839200" y="85725"/>
                <a:ext cx="123825" cy="161925"/>
              </a:xfrm>
              <a:prstGeom prst="chevron">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sp macro="" textlink="">
            <xdr:nvSpPr>
              <xdr:cNvPr id="23" name="Arrow: Chevron 22">
                <a:extLst>
                  <a:ext uri="{FF2B5EF4-FFF2-40B4-BE49-F238E27FC236}">
                    <a16:creationId xmlns:a16="http://schemas.microsoft.com/office/drawing/2014/main" id="{A1A14EDF-B393-09DC-AB75-F7333539CCAB}"/>
                  </a:ext>
                </a:extLst>
              </xdr:cNvPr>
              <xdr:cNvSpPr/>
            </xdr:nvSpPr>
            <xdr:spPr>
              <a:xfrm>
                <a:off x="8934450" y="85725"/>
                <a:ext cx="123825" cy="161925"/>
              </a:xfrm>
              <a:prstGeom prst="chevron">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grpSp>
      </xdr:grpSp>
      <xdr:grpSp>
        <xdr:nvGrpSpPr>
          <xdr:cNvPr id="1035" name="Group 1034">
            <a:extLst>
              <a:ext uri="{FF2B5EF4-FFF2-40B4-BE49-F238E27FC236}">
                <a16:creationId xmlns:a16="http://schemas.microsoft.com/office/drawing/2014/main" id="{230375D3-B100-6D96-5CA0-951E6471212C}"/>
              </a:ext>
            </a:extLst>
          </xdr:cNvPr>
          <xdr:cNvGrpSpPr/>
        </xdr:nvGrpSpPr>
        <xdr:grpSpPr>
          <a:xfrm>
            <a:off x="8239125" y="76200"/>
            <a:ext cx="2105025" cy="209550"/>
            <a:chOff x="10248900" y="76200"/>
            <a:chExt cx="1438275" cy="180000"/>
          </a:xfrm>
        </xdr:grpSpPr>
        <xdr:sp macro="" textlink="">
          <xdr:nvSpPr>
            <xdr:cNvPr id="17" name="Rectangle: Rounded Corners 16">
              <a:hlinkClick xmlns:r="http://schemas.openxmlformats.org/officeDocument/2006/relationships" r:id="rId6"/>
              <a:extLst>
                <a:ext uri="{FF2B5EF4-FFF2-40B4-BE49-F238E27FC236}">
                  <a16:creationId xmlns:a16="http://schemas.microsoft.com/office/drawing/2014/main" id="{D3331ACF-2E04-41A3-A06D-062FDEA7DD6F}"/>
                </a:ext>
              </a:extLst>
            </xdr:cNvPr>
            <xdr:cNvSpPr/>
          </xdr:nvSpPr>
          <xdr:spPr>
            <a:xfrm>
              <a:off x="10248900" y="76200"/>
              <a:ext cx="1438275" cy="180000"/>
            </a:xfrm>
            <a:prstGeom prst="round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100" b="1">
                  <a:solidFill>
                    <a:schemeClr val="tx1"/>
                  </a:solidFill>
                  <a:latin typeface="+mn-lt"/>
                  <a:ea typeface="+mn-ea"/>
                  <a:cs typeface="+mn-cs"/>
                </a:rPr>
                <a:t>PIVOT</a:t>
              </a:r>
              <a:r>
                <a:rPr lang="en-US" sz="1100" b="1" baseline="0">
                  <a:solidFill>
                    <a:schemeClr val="tx1"/>
                  </a:solidFill>
                  <a:latin typeface="+mn-lt"/>
                  <a:ea typeface="+mn-ea"/>
                  <a:cs typeface="+mn-cs"/>
                </a:rPr>
                <a:t> </a:t>
              </a:r>
              <a:endParaRPr lang="en-US" sz="1100" b="1">
                <a:solidFill>
                  <a:schemeClr val="tx1"/>
                </a:solidFill>
                <a:latin typeface="+mn-lt"/>
                <a:ea typeface="+mn-ea"/>
                <a:cs typeface="+mn-cs"/>
              </a:endParaRPr>
            </a:p>
          </xdr:txBody>
        </xdr:sp>
        <xdr:grpSp>
          <xdr:nvGrpSpPr>
            <xdr:cNvPr id="25" name="Group 24">
              <a:extLst>
                <a:ext uri="{FF2B5EF4-FFF2-40B4-BE49-F238E27FC236}">
                  <a16:creationId xmlns:a16="http://schemas.microsoft.com/office/drawing/2014/main" id="{658CCD14-8A92-4706-3780-79F753806769}"/>
                </a:ext>
              </a:extLst>
            </xdr:cNvPr>
            <xdr:cNvGrpSpPr/>
          </xdr:nvGrpSpPr>
          <xdr:grpSpPr>
            <a:xfrm>
              <a:off x="10306050" y="85725"/>
              <a:ext cx="219075" cy="161925"/>
              <a:chOff x="8839200" y="85725"/>
              <a:chExt cx="219075" cy="161925"/>
            </a:xfrm>
            <a:solidFill>
              <a:schemeClr val="tx1"/>
            </a:solidFill>
          </xdr:grpSpPr>
          <xdr:sp macro="" textlink="">
            <xdr:nvSpPr>
              <xdr:cNvPr id="26" name="Arrow: Chevron 25">
                <a:extLst>
                  <a:ext uri="{FF2B5EF4-FFF2-40B4-BE49-F238E27FC236}">
                    <a16:creationId xmlns:a16="http://schemas.microsoft.com/office/drawing/2014/main" id="{409FF985-BD6D-5E82-D311-FF196CF12CB4}"/>
                  </a:ext>
                </a:extLst>
              </xdr:cNvPr>
              <xdr:cNvSpPr/>
            </xdr:nvSpPr>
            <xdr:spPr>
              <a:xfrm>
                <a:off x="8839200" y="85725"/>
                <a:ext cx="123825" cy="161925"/>
              </a:xfrm>
              <a:prstGeom prst="chevron">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sp macro="" textlink="">
            <xdr:nvSpPr>
              <xdr:cNvPr id="27" name="Arrow: Chevron 26">
                <a:extLst>
                  <a:ext uri="{FF2B5EF4-FFF2-40B4-BE49-F238E27FC236}">
                    <a16:creationId xmlns:a16="http://schemas.microsoft.com/office/drawing/2014/main" id="{7BFFDB36-6760-E1B4-AE80-04DF5B9FE3D1}"/>
                  </a:ext>
                </a:extLst>
              </xdr:cNvPr>
              <xdr:cNvSpPr/>
            </xdr:nvSpPr>
            <xdr:spPr>
              <a:xfrm>
                <a:off x="8934450" y="85725"/>
                <a:ext cx="123825" cy="161925"/>
              </a:xfrm>
              <a:prstGeom prst="chevron">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grpSp>
      </xdr:grpSp>
      <xdr:grpSp>
        <xdr:nvGrpSpPr>
          <xdr:cNvPr id="1036" name="Group 1035">
            <a:extLst>
              <a:ext uri="{FF2B5EF4-FFF2-40B4-BE49-F238E27FC236}">
                <a16:creationId xmlns:a16="http://schemas.microsoft.com/office/drawing/2014/main" id="{11967F9E-7C66-A58E-3CBD-38D8071FDAFE}"/>
              </a:ext>
            </a:extLst>
          </xdr:cNvPr>
          <xdr:cNvGrpSpPr/>
        </xdr:nvGrpSpPr>
        <xdr:grpSpPr>
          <a:xfrm>
            <a:off x="10372725" y="76200"/>
            <a:ext cx="2105025" cy="209550"/>
            <a:chOff x="11706225" y="76200"/>
            <a:chExt cx="1438275" cy="180000"/>
          </a:xfrm>
        </xdr:grpSpPr>
        <xdr:sp macro="" textlink="">
          <xdr:nvSpPr>
            <xdr:cNvPr id="18" name="Rectangle: Rounded Corners 17">
              <a:hlinkClick xmlns:r="http://schemas.openxmlformats.org/officeDocument/2006/relationships" r:id="rId7"/>
              <a:extLst>
                <a:ext uri="{FF2B5EF4-FFF2-40B4-BE49-F238E27FC236}">
                  <a16:creationId xmlns:a16="http://schemas.microsoft.com/office/drawing/2014/main" id="{C448518D-39DA-8AEB-B0DF-503EDED409AD}"/>
                </a:ext>
              </a:extLst>
            </xdr:cNvPr>
            <xdr:cNvSpPr/>
          </xdr:nvSpPr>
          <xdr:spPr>
            <a:xfrm>
              <a:off x="11706225" y="76200"/>
              <a:ext cx="1438275" cy="180000"/>
            </a:xfrm>
            <a:prstGeom prst="round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100" b="1">
                  <a:solidFill>
                    <a:schemeClr val="tx1"/>
                  </a:solidFill>
                  <a:latin typeface="+mn-lt"/>
                  <a:ea typeface="+mn-ea"/>
                  <a:cs typeface="+mn-cs"/>
                </a:rPr>
                <a:t>SALES</a:t>
              </a:r>
              <a:r>
                <a:rPr lang="en-US" sz="1100" b="1" baseline="0">
                  <a:solidFill>
                    <a:schemeClr val="tx1"/>
                  </a:solidFill>
                  <a:latin typeface="+mn-lt"/>
                  <a:ea typeface="+mn-ea"/>
                  <a:cs typeface="+mn-cs"/>
                </a:rPr>
                <a:t> DASHBOARD</a:t>
              </a:r>
              <a:endParaRPr lang="en-US" sz="1100" b="1">
                <a:solidFill>
                  <a:schemeClr val="tx1"/>
                </a:solidFill>
                <a:latin typeface="+mn-lt"/>
                <a:ea typeface="+mn-ea"/>
                <a:cs typeface="+mn-cs"/>
              </a:endParaRPr>
            </a:p>
          </xdr:txBody>
        </xdr:sp>
        <xdr:grpSp>
          <xdr:nvGrpSpPr>
            <xdr:cNvPr id="28" name="Group 27">
              <a:extLst>
                <a:ext uri="{FF2B5EF4-FFF2-40B4-BE49-F238E27FC236}">
                  <a16:creationId xmlns:a16="http://schemas.microsoft.com/office/drawing/2014/main" id="{C6027277-6A9F-6CC0-4C28-6BA10C711709}"/>
                </a:ext>
              </a:extLst>
            </xdr:cNvPr>
            <xdr:cNvGrpSpPr/>
          </xdr:nvGrpSpPr>
          <xdr:grpSpPr>
            <a:xfrm>
              <a:off x="11772900" y="85725"/>
              <a:ext cx="219075" cy="161925"/>
              <a:chOff x="8839200" y="85725"/>
              <a:chExt cx="219075" cy="161925"/>
            </a:xfrm>
            <a:solidFill>
              <a:schemeClr val="tx1"/>
            </a:solidFill>
          </xdr:grpSpPr>
          <xdr:sp macro="" textlink="">
            <xdr:nvSpPr>
              <xdr:cNvPr id="29" name="Arrow: Chevron 28">
                <a:extLst>
                  <a:ext uri="{FF2B5EF4-FFF2-40B4-BE49-F238E27FC236}">
                    <a16:creationId xmlns:a16="http://schemas.microsoft.com/office/drawing/2014/main" id="{CABA3CE5-6BFB-A330-82D2-AB6685E5876A}"/>
                  </a:ext>
                </a:extLst>
              </xdr:cNvPr>
              <xdr:cNvSpPr/>
            </xdr:nvSpPr>
            <xdr:spPr>
              <a:xfrm>
                <a:off x="8839200" y="85725"/>
                <a:ext cx="123825" cy="161925"/>
              </a:xfrm>
              <a:prstGeom prst="chevron">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sp macro="" textlink="">
            <xdr:nvSpPr>
              <xdr:cNvPr id="30" name="Arrow: Chevron 29">
                <a:extLst>
                  <a:ext uri="{FF2B5EF4-FFF2-40B4-BE49-F238E27FC236}">
                    <a16:creationId xmlns:a16="http://schemas.microsoft.com/office/drawing/2014/main" id="{4E11E8DD-B8F5-F20D-3606-AF978B2F8C94}"/>
                  </a:ext>
                </a:extLst>
              </xdr:cNvPr>
              <xdr:cNvSpPr/>
            </xdr:nvSpPr>
            <xdr:spPr>
              <a:xfrm>
                <a:off x="8934450" y="85725"/>
                <a:ext cx="123825" cy="161925"/>
              </a:xfrm>
              <a:prstGeom prst="chevron">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grpSp>
      </xdr:grpSp>
      <xdr:grpSp>
        <xdr:nvGrpSpPr>
          <xdr:cNvPr id="1037" name="Group 1036">
            <a:extLst>
              <a:ext uri="{FF2B5EF4-FFF2-40B4-BE49-F238E27FC236}">
                <a16:creationId xmlns:a16="http://schemas.microsoft.com/office/drawing/2014/main" id="{AFE1B9BB-528D-2ABB-7B7D-7BE168516B14}"/>
              </a:ext>
            </a:extLst>
          </xdr:cNvPr>
          <xdr:cNvGrpSpPr/>
        </xdr:nvGrpSpPr>
        <xdr:grpSpPr>
          <a:xfrm>
            <a:off x="12505524" y="76200"/>
            <a:ext cx="2107550" cy="209550"/>
            <a:chOff x="13173074" y="76200"/>
            <a:chExt cx="1440000" cy="180000"/>
          </a:xfrm>
        </xdr:grpSpPr>
        <xdr:sp macro="" textlink="">
          <xdr:nvSpPr>
            <xdr:cNvPr id="19" name="Rectangle: Rounded Corners 18">
              <a:hlinkClick xmlns:r="http://schemas.openxmlformats.org/officeDocument/2006/relationships" r:id="rId8"/>
              <a:extLst>
                <a:ext uri="{FF2B5EF4-FFF2-40B4-BE49-F238E27FC236}">
                  <a16:creationId xmlns:a16="http://schemas.microsoft.com/office/drawing/2014/main" id="{58A7EF82-86A8-C47B-057C-AFDBA823E6D1}"/>
                </a:ext>
              </a:extLst>
            </xdr:cNvPr>
            <xdr:cNvSpPr/>
          </xdr:nvSpPr>
          <xdr:spPr>
            <a:xfrm>
              <a:off x="13173074" y="76200"/>
              <a:ext cx="1440000" cy="180000"/>
            </a:xfrm>
            <a:prstGeom prst="round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r"/>
              <a:r>
                <a:rPr lang="en-US" sz="1100" b="1">
                  <a:solidFill>
                    <a:schemeClr val="tx1"/>
                  </a:solidFill>
                  <a:latin typeface="+mn-lt"/>
                  <a:ea typeface="+mn-ea"/>
                  <a:cs typeface="+mn-cs"/>
                </a:rPr>
                <a:t>REAGION</a:t>
              </a:r>
              <a:r>
                <a:rPr lang="en-US" sz="1100" b="1" baseline="0">
                  <a:solidFill>
                    <a:schemeClr val="tx1"/>
                  </a:solidFill>
                  <a:latin typeface="+mn-lt"/>
                  <a:ea typeface="+mn-ea"/>
                  <a:cs typeface="+mn-cs"/>
                </a:rPr>
                <a:t> DASHBOARD</a:t>
              </a:r>
              <a:endParaRPr lang="en-US" sz="1100" b="1">
                <a:solidFill>
                  <a:schemeClr val="tx1"/>
                </a:solidFill>
                <a:latin typeface="+mn-lt"/>
                <a:ea typeface="+mn-ea"/>
                <a:cs typeface="+mn-cs"/>
              </a:endParaRPr>
            </a:p>
          </xdr:txBody>
        </xdr:sp>
        <xdr:grpSp>
          <xdr:nvGrpSpPr>
            <xdr:cNvPr id="31" name="Group 30">
              <a:extLst>
                <a:ext uri="{FF2B5EF4-FFF2-40B4-BE49-F238E27FC236}">
                  <a16:creationId xmlns:a16="http://schemas.microsoft.com/office/drawing/2014/main" id="{63D99C9B-372F-0B07-B6A4-4AECB136DEF7}"/>
                </a:ext>
              </a:extLst>
            </xdr:cNvPr>
            <xdr:cNvGrpSpPr/>
          </xdr:nvGrpSpPr>
          <xdr:grpSpPr>
            <a:xfrm>
              <a:off x="13239750" y="85725"/>
              <a:ext cx="219075" cy="161925"/>
              <a:chOff x="8839200" y="85725"/>
              <a:chExt cx="219075" cy="161925"/>
            </a:xfrm>
            <a:solidFill>
              <a:schemeClr val="tx1"/>
            </a:solidFill>
          </xdr:grpSpPr>
          <xdr:sp macro="" textlink="">
            <xdr:nvSpPr>
              <xdr:cNvPr id="1024" name="Arrow: Chevron 1023">
                <a:extLst>
                  <a:ext uri="{FF2B5EF4-FFF2-40B4-BE49-F238E27FC236}">
                    <a16:creationId xmlns:a16="http://schemas.microsoft.com/office/drawing/2014/main" id="{D9761852-FE3E-6673-C068-0A35031776ED}"/>
                  </a:ext>
                </a:extLst>
              </xdr:cNvPr>
              <xdr:cNvSpPr/>
            </xdr:nvSpPr>
            <xdr:spPr>
              <a:xfrm>
                <a:off x="8839200" y="85725"/>
                <a:ext cx="123825" cy="161925"/>
              </a:xfrm>
              <a:prstGeom prst="chevron">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sp macro="" textlink="">
            <xdr:nvSpPr>
              <xdr:cNvPr id="1029" name="Arrow: Chevron 1028">
                <a:extLst>
                  <a:ext uri="{FF2B5EF4-FFF2-40B4-BE49-F238E27FC236}">
                    <a16:creationId xmlns:a16="http://schemas.microsoft.com/office/drawing/2014/main" id="{13CDB65A-045D-A13E-00E8-37FAC28D6833}"/>
                  </a:ext>
                </a:extLst>
              </xdr:cNvPr>
              <xdr:cNvSpPr/>
            </xdr:nvSpPr>
            <xdr:spPr>
              <a:xfrm>
                <a:off x="8934450" y="85725"/>
                <a:ext cx="123825" cy="161925"/>
              </a:xfrm>
              <a:prstGeom prst="chevron">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grpSp>
      </xdr:grpSp>
      <xdr:pic>
        <xdr:nvPicPr>
          <xdr:cNvPr id="1033" name="Picture 1032">
            <a:extLst>
              <a:ext uri="{FF2B5EF4-FFF2-40B4-BE49-F238E27FC236}">
                <a16:creationId xmlns:a16="http://schemas.microsoft.com/office/drawing/2014/main" id="{CE966AF1-2D9E-969B-B7DE-15572420A592}"/>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209550" y="57150"/>
            <a:ext cx="260620" cy="238125"/>
          </a:xfrm>
          <a:prstGeom prst="rect">
            <a:avLst/>
          </a:prstGeom>
        </xdr:spPr>
      </xdr:pic>
    </xdr:grp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24</xdr:col>
      <xdr:colOff>447675</xdr:colOff>
      <xdr:row>32</xdr:row>
      <xdr:rowOff>66674</xdr:rowOff>
    </xdr:to>
    <xdr:sp macro="" textlink="">
      <xdr:nvSpPr>
        <xdr:cNvPr id="2" name="Rectangle 1">
          <a:extLst>
            <a:ext uri="{FF2B5EF4-FFF2-40B4-BE49-F238E27FC236}">
              <a16:creationId xmlns:a16="http://schemas.microsoft.com/office/drawing/2014/main" id="{666DCA19-099A-6337-D536-ABF78FF5ACDC}"/>
            </a:ext>
          </a:extLst>
        </xdr:cNvPr>
        <xdr:cNvSpPr/>
      </xdr:nvSpPr>
      <xdr:spPr>
        <a:xfrm>
          <a:off x="0" y="0"/>
          <a:ext cx="15078075" cy="6162674"/>
        </a:xfrm>
        <a:prstGeom prst="rect">
          <a:avLst/>
        </a:prstGeom>
        <a:solidFill>
          <a:sysClr val="window" lastClr="FFFF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161925</xdr:colOff>
      <xdr:row>18</xdr:row>
      <xdr:rowOff>9525</xdr:rowOff>
    </xdr:from>
    <xdr:to>
      <xdr:col>24</xdr:col>
      <xdr:colOff>352425</xdr:colOff>
      <xdr:row>29</xdr:row>
      <xdr:rowOff>19050</xdr:rowOff>
    </xdr:to>
    <xdr:sp macro="" textlink="">
      <xdr:nvSpPr>
        <xdr:cNvPr id="14" name="Rectangle: Rounded Corners 13">
          <a:extLst>
            <a:ext uri="{FF2B5EF4-FFF2-40B4-BE49-F238E27FC236}">
              <a16:creationId xmlns:a16="http://schemas.microsoft.com/office/drawing/2014/main" id="{6B05F0A7-135A-83E2-318F-6BBBC0017CAC}"/>
            </a:ext>
          </a:extLst>
        </xdr:cNvPr>
        <xdr:cNvSpPr/>
      </xdr:nvSpPr>
      <xdr:spPr>
        <a:xfrm>
          <a:off x="161925" y="3438525"/>
          <a:ext cx="14820900" cy="2105025"/>
        </a:xfrm>
        <a:prstGeom prst="roundRect">
          <a:avLst>
            <a:gd name="adj" fmla="val 12142"/>
          </a:avLst>
        </a:prstGeom>
        <a:solidFill>
          <a:sysClr val="window" lastClr="FFFFFF"/>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285750</xdr:colOff>
      <xdr:row>3</xdr:row>
      <xdr:rowOff>114300</xdr:rowOff>
    </xdr:from>
    <xdr:to>
      <xdr:col>11</xdr:col>
      <xdr:colOff>561975</xdr:colOff>
      <xdr:row>4</xdr:row>
      <xdr:rowOff>161925</xdr:rowOff>
    </xdr:to>
    <xdr:sp macro="" textlink="">
      <xdr:nvSpPr>
        <xdr:cNvPr id="4" name="TextBox 3">
          <a:extLst>
            <a:ext uri="{FF2B5EF4-FFF2-40B4-BE49-F238E27FC236}">
              <a16:creationId xmlns:a16="http://schemas.microsoft.com/office/drawing/2014/main" id="{02CE4E01-0281-6382-3574-A7C4052753D4}"/>
            </a:ext>
          </a:extLst>
        </xdr:cNvPr>
        <xdr:cNvSpPr txBox="1"/>
      </xdr:nvSpPr>
      <xdr:spPr>
        <a:xfrm>
          <a:off x="6381750" y="685800"/>
          <a:ext cx="88582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0</xdr:col>
      <xdr:colOff>304800</xdr:colOff>
      <xdr:row>18</xdr:row>
      <xdr:rowOff>85725</xdr:rowOff>
    </xdr:from>
    <xdr:to>
      <xdr:col>24</xdr:col>
      <xdr:colOff>219075</xdr:colOff>
      <xdr:row>28</xdr:row>
      <xdr:rowOff>100013</xdr:rowOff>
    </xdr:to>
    <xdr:graphicFrame macro="">
      <xdr:nvGraphicFramePr>
        <xdr:cNvPr id="5" name="Chart 4">
          <a:extLst>
            <a:ext uri="{FF2B5EF4-FFF2-40B4-BE49-F238E27FC236}">
              <a16:creationId xmlns:a16="http://schemas.microsoft.com/office/drawing/2014/main" id="{B7B86BA6-E386-4535-93E8-92F74CA0C7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219075</xdr:colOff>
      <xdr:row>5</xdr:row>
      <xdr:rowOff>0</xdr:rowOff>
    </xdr:from>
    <xdr:to>
      <xdr:col>8</xdr:col>
      <xdr:colOff>76200</xdr:colOff>
      <xdr:row>16</xdr:row>
      <xdr:rowOff>180975</xdr:rowOff>
    </xdr:to>
    <xdr:sp macro="" textlink="">
      <xdr:nvSpPr>
        <xdr:cNvPr id="11" name="Rectangle: Rounded Corners 10">
          <a:extLst>
            <a:ext uri="{FF2B5EF4-FFF2-40B4-BE49-F238E27FC236}">
              <a16:creationId xmlns:a16="http://schemas.microsoft.com/office/drawing/2014/main" id="{D66F44F0-9072-3E3E-6D48-347C8D9739DB}"/>
            </a:ext>
          </a:extLst>
        </xdr:cNvPr>
        <xdr:cNvSpPr/>
      </xdr:nvSpPr>
      <xdr:spPr>
        <a:xfrm>
          <a:off x="219075" y="952500"/>
          <a:ext cx="4733925" cy="2276475"/>
        </a:xfrm>
        <a:prstGeom prst="roundRect">
          <a:avLst>
            <a:gd name="adj" fmla="val 9977"/>
          </a:avLst>
        </a:prstGeom>
        <a:solidFill>
          <a:sysClr val="window" lastClr="FFFFFF"/>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361950</xdr:colOff>
      <xdr:row>5</xdr:row>
      <xdr:rowOff>85726</xdr:rowOff>
    </xdr:from>
    <xdr:to>
      <xdr:col>7</xdr:col>
      <xdr:colOff>552450</xdr:colOff>
      <xdr:row>16</xdr:row>
      <xdr:rowOff>104775</xdr:rowOff>
    </xdr:to>
    <xdr:graphicFrame macro="">
      <xdr:nvGraphicFramePr>
        <xdr:cNvPr id="6" name="Chart 5">
          <a:extLst>
            <a:ext uri="{FF2B5EF4-FFF2-40B4-BE49-F238E27FC236}">
              <a16:creationId xmlns:a16="http://schemas.microsoft.com/office/drawing/2014/main" id="{3B5E3D4B-1EBD-4D28-8434-33CB2454DB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390525</xdr:colOff>
      <xdr:row>5</xdr:row>
      <xdr:rowOff>0</xdr:rowOff>
    </xdr:from>
    <xdr:to>
      <xdr:col>24</xdr:col>
      <xdr:colOff>247650</xdr:colOff>
      <xdr:row>16</xdr:row>
      <xdr:rowOff>180975</xdr:rowOff>
    </xdr:to>
    <xdr:sp macro="" textlink="">
      <xdr:nvSpPr>
        <xdr:cNvPr id="39" name="Rectangle: Rounded Corners 38">
          <a:extLst>
            <a:ext uri="{FF2B5EF4-FFF2-40B4-BE49-F238E27FC236}">
              <a16:creationId xmlns:a16="http://schemas.microsoft.com/office/drawing/2014/main" id="{55E67541-50F3-FBF9-0071-D38CA6F44C3B}"/>
            </a:ext>
          </a:extLst>
        </xdr:cNvPr>
        <xdr:cNvSpPr/>
      </xdr:nvSpPr>
      <xdr:spPr>
        <a:xfrm>
          <a:off x="10144125" y="952500"/>
          <a:ext cx="4733925" cy="2276475"/>
        </a:xfrm>
        <a:prstGeom prst="roundRect">
          <a:avLst>
            <a:gd name="adj" fmla="val 9977"/>
          </a:avLst>
        </a:prstGeom>
        <a:solidFill>
          <a:sysClr val="window" lastClr="FFFFFF"/>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219075</xdr:colOff>
      <xdr:row>2</xdr:row>
      <xdr:rowOff>0</xdr:rowOff>
    </xdr:from>
    <xdr:to>
      <xdr:col>24</xdr:col>
      <xdr:colOff>285751</xdr:colOff>
      <xdr:row>4</xdr:row>
      <xdr:rowOff>47625</xdr:rowOff>
    </xdr:to>
    <mc:AlternateContent xmlns:mc="http://schemas.openxmlformats.org/markup-compatibility/2006" xmlns:a14="http://schemas.microsoft.com/office/drawing/2010/main">
      <mc:Choice Requires="a14">
        <xdr:graphicFrame macro="">
          <xdr:nvGraphicFramePr>
            <xdr:cNvPr id="9" name="Region 2">
              <a:extLst>
                <a:ext uri="{FF2B5EF4-FFF2-40B4-BE49-F238E27FC236}">
                  <a16:creationId xmlns:a16="http://schemas.microsoft.com/office/drawing/2014/main" id="{8B2CD22D-BAE7-438D-8202-A1D6BDDFD3CA}"/>
                </a:ext>
              </a:extLst>
            </xdr:cNvPr>
            <xdr:cNvGraphicFramePr/>
          </xdr:nvGraphicFramePr>
          <xdr:xfrm>
            <a:off x="0" y="0"/>
            <a:ext cx="0" cy="0"/>
          </xdr:xfrm>
          <a:graphic>
            <a:graphicData uri="http://schemas.microsoft.com/office/drawing/2010/slicer">
              <sle:slicer xmlns:sle="http://schemas.microsoft.com/office/drawing/2010/slicer" name="Region 2"/>
            </a:graphicData>
          </a:graphic>
        </xdr:graphicFrame>
      </mc:Choice>
      <mc:Fallback xmlns="">
        <xdr:sp macro="" textlink="">
          <xdr:nvSpPr>
            <xdr:cNvPr id="0" name=""/>
            <xdr:cNvSpPr>
              <a:spLocks noTextEdit="1"/>
            </xdr:cNvSpPr>
          </xdr:nvSpPr>
          <xdr:spPr>
            <a:xfrm>
              <a:off x="219075" y="381000"/>
              <a:ext cx="14697076" cy="4286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16</xdr:col>
      <xdr:colOff>495301</xdr:colOff>
      <xdr:row>5</xdr:row>
      <xdr:rowOff>76199</xdr:rowOff>
    </xdr:from>
    <xdr:to>
      <xdr:col>24</xdr:col>
      <xdr:colOff>152401</xdr:colOff>
      <xdr:row>16</xdr:row>
      <xdr:rowOff>104775</xdr:rowOff>
    </xdr:to>
    <xdr:graphicFrame macro="">
      <xdr:nvGraphicFramePr>
        <xdr:cNvPr id="10" name="Chart 9">
          <a:extLst>
            <a:ext uri="{FF2B5EF4-FFF2-40B4-BE49-F238E27FC236}">
              <a16:creationId xmlns:a16="http://schemas.microsoft.com/office/drawing/2014/main" id="{5DB1BB25-7C78-43D0-8FAF-D58A4C1583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180975</xdr:colOff>
      <xdr:row>0</xdr:row>
      <xdr:rowOff>57150</xdr:rowOff>
    </xdr:from>
    <xdr:to>
      <xdr:col>24</xdr:col>
      <xdr:colOff>274575</xdr:colOff>
      <xdr:row>1</xdr:row>
      <xdr:rowOff>154650</xdr:rowOff>
    </xdr:to>
    <xdr:grpSp>
      <xdr:nvGrpSpPr>
        <xdr:cNvPr id="15" name="Group 14">
          <a:extLst>
            <a:ext uri="{FF2B5EF4-FFF2-40B4-BE49-F238E27FC236}">
              <a16:creationId xmlns:a16="http://schemas.microsoft.com/office/drawing/2014/main" id="{F4DB1D14-208D-4D68-A00A-D550B72FD419}"/>
            </a:ext>
          </a:extLst>
        </xdr:cNvPr>
        <xdr:cNvGrpSpPr/>
      </xdr:nvGrpSpPr>
      <xdr:grpSpPr>
        <a:xfrm>
          <a:off x="180975" y="57150"/>
          <a:ext cx="14724000" cy="288000"/>
          <a:chOff x="38099" y="47625"/>
          <a:chExt cx="14724000" cy="288000"/>
        </a:xfrm>
      </xdr:grpSpPr>
      <xdr:sp macro="" textlink="">
        <xdr:nvSpPr>
          <xdr:cNvPr id="16" name="Rectangle: Rounded Corners 15">
            <a:extLst>
              <a:ext uri="{FF2B5EF4-FFF2-40B4-BE49-F238E27FC236}">
                <a16:creationId xmlns:a16="http://schemas.microsoft.com/office/drawing/2014/main" id="{BEF3D8D1-56CE-8319-29CC-677140367A33}"/>
              </a:ext>
            </a:extLst>
          </xdr:cNvPr>
          <xdr:cNvSpPr/>
        </xdr:nvSpPr>
        <xdr:spPr>
          <a:xfrm>
            <a:off x="38099" y="47625"/>
            <a:ext cx="14724000" cy="288000"/>
          </a:xfrm>
          <a:prstGeom prst="roundRec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latin typeface="Arial Black" panose="020B0A04020102020204" pitchFamily="34" charset="0"/>
              </a:rPr>
              <a:t>           </a:t>
            </a:r>
            <a:r>
              <a:rPr lang="en-US" sz="1100">
                <a:solidFill>
                  <a:schemeClr val="tx1"/>
                </a:solidFill>
                <a:latin typeface="Arial Black" panose="020B0A04020102020204" pitchFamily="34" charset="0"/>
              </a:rPr>
              <a:t>HARSHIT</a:t>
            </a:r>
            <a:r>
              <a:rPr lang="en-US" sz="1100" baseline="0">
                <a:latin typeface="Arial Black" panose="020B0A04020102020204" pitchFamily="34" charset="0"/>
              </a:rPr>
              <a:t> </a:t>
            </a:r>
            <a:r>
              <a:rPr lang="en-US" sz="1100" baseline="0">
                <a:solidFill>
                  <a:schemeClr val="tx1"/>
                </a:solidFill>
                <a:latin typeface="Arial Black" panose="020B0A04020102020204" pitchFamily="34" charset="0"/>
              </a:rPr>
              <a:t>JONWAL</a:t>
            </a:r>
            <a:endParaRPr lang="en-US" sz="1100">
              <a:solidFill>
                <a:schemeClr val="tx1"/>
              </a:solidFill>
              <a:latin typeface="Arial Black" panose="020B0A04020102020204" pitchFamily="34" charset="0"/>
            </a:endParaRPr>
          </a:p>
        </xdr:txBody>
      </xdr:sp>
      <xdr:grpSp>
        <xdr:nvGrpSpPr>
          <xdr:cNvPr id="17" name="Group 16">
            <a:extLst>
              <a:ext uri="{FF2B5EF4-FFF2-40B4-BE49-F238E27FC236}">
                <a16:creationId xmlns:a16="http://schemas.microsoft.com/office/drawing/2014/main" id="{EF6CC82E-3FB3-EA60-5A69-1C5B0FC57E6C}"/>
              </a:ext>
            </a:extLst>
          </xdr:cNvPr>
          <xdr:cNvGrpSpPr/>
        </xdr:nvGrpSpPr>
        <xdr:grpSpPr>
          <a:xfrm>
            <a:off x="6105525" y="76200"/>
            <a:ext cx="2105025" cy="209550"/>
            <a:chOff x="8782050" y="76200"/>
            <a:chExt cx="1438275" cy="180000"/>
          </a:xfrm>
        </xdr:grpSpPr>
        <xdr:sp macro="" textlink="">
          <xdr:nvSpPr>
            <xdr:cNvPr id="34" name="Rectangle: Rounded Corners 33">
              <a:hlinkClick xmlns:r="http://schemas.openxmlformats.org/officeDocument/2006/relationships" r:id="rId4"/>
              <a:extLst>
                <a:ext uri="{FF2B5EF4-FFF2-40B4-BE49-F238E27FC236}">
                  <a16:creationId xmlns:a16="http://schemas.microsoft.com/office/drawing/2014/main" id="{D8A061F1-38CC-1347-9367-F977A510E75E}"/>
                </a:ext>
              </a:extLst>
            </xdr:cNvPr>
            <xdr:cNvSpPr/>
          </xdr:nvSpPr>
          <xdr:spPr>
            <a:xfrm>
              <a:off x="8782050" y="76200"/>
              <a:ext cx="1438275" cy="180000"/>
            </a:xfrm>
            <a:prstGeom prst="round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100" b="1">
                  <a:solidFill>
                    <a:schemeClr val="tx1"/>
                  </a:solidFill>
                </a:rPr>
                <a:t>RAW</a:t>
              </a:r>
              <a:r>
                <a:rPr lang="en-US" sz="1100" b="1" baseline="0">
                  <a:solidFill>
                    <a:schemeClr val="tx1"/>
                  </a:solidFill>
                </a:rPr>
                <a:t> DATA</a:t>
              </a:r>
              <a:endParaRPr lang="en-US" sz="1100" b="1">
                <a:solidFill>
                  <a:schemeClr val="tx1"/>
                </a:solidFill>
              </a:endParaRPr>
            </a:p>
          </xdr:txBody>
        </xdr:sp>
        <xdr:grpSp>
          <xdr:nvGrpSpPr>
            <xdr:cNvPr id="35" name="Group 34">
              <a:extLst>
                <a:ext uri="{FF2B5EF4-FFF2-40B4-BE49-F238E27FC236}">
                  <a16:creationId xmlns:a16="http://schemas.microsoft.com/office/drawing/2014/main" id="{F8BA5097-7BBA-89A4-4FCD-ABFBF0F90FC3}"/>
                </a:ext>
              </a:extLst>
            </xdr:cNvPr>
            <xdr:cNvGrpSpPr/>
          </xdr:nvGrpSpPr>
          <xdr:grpSpPr>
            <a:xfrm>
              <a:off x="8839200" y="85725"/>
              <a:ext cx="219075" cy="161925"/>
              <a:chOff x="8839200" y="85725"/>
              <a:chExt cx="219075" cy="161925"/>
            </a:xfrm>
            <a:solidFill>
              <a:schemeClr val="tx1"/>
            </a:solidFill>
          </xdr:grpSpPr>
          <xdr:sp macro="" textlink="">
            <xdr:nvSpPr>
              <xdr:cNvPr id="36" name="Arrow: Chevron 35">
                <a:extLst>
                  <a:ext uri="{FF2B5EF4-FFF2-40B4-BE49-F238E27FC236}">
                    <a16:creationId xmlns:a16="http://schemas.microsoft.com/office/drawing/2014/main" id="{2A64427B-2E3F-1D2D-54BC-4766ACEED0D1}"/>
                  </a:ext>
                </a:extLst>
              </xdr:cNvPr>
              <xdr:cNvSpPr/>
            </xdr:nvSpPr>
            <xdr:spPr>
              <a:xfrm>
                <a:off x="8839200" y="85725"/>
                <a:ext cx="123825" cy="161925"/>
              </a:xfrm>
              <a:prstGeom prst="chevron">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sp macro="" textlink="">
            <xdr:nvSpPr>
              <xdr:cNvPr id="37" name="Arrow: Chevron 36">
                <a:extLst>
                  <a:ext uri="{FF2B5EF4-FFF2-40B4-BE49-F238E27FC236}">
                    <a16:creationId xmlns:a16="http://schemas.microsoft.com/office/drawing/2014/main" id="{5DF68811-9067-1C4E-2C64-93E010D4E49F}"/>
                  </a:ext>
                </a:extLst>
              </xdr:cNvPr>
              <xdr:cNvSpPr/>
            </xdr:nvSpPr>
            <xdr:spPr>
              <a:xfrm>
                <a:off x="8934450" y="85725"/>
                <a:ext cx="123825" cy="161925"/>
              </a:xfrm>
              <a:prstGeom prst="chevron">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grpSp>
      </xdr:grpSp>
      <xdr:grpSp>
        <xdr:nvGrpSpPr>
          <xdr:cNvPr id="18" name="Group 17">
            <a:extLst>
              <a:ext uri="{FF2B5EF4-FFF2-40B4-BE49-F238E27FC236}">
                <a16:creationId xmlns:a16="http://schemas.microsoft.com/office/drawing/2014/main" id="{C722B693-D52B-B68B-2F26-7064E32A7CF0}"/>
              </a:ext>
            </a:extLst>
          </xdr:cNvPr>
          <xdr:cNvGrpSpPr/>
        </xdr:nvGrpSpPr>
        <xdr:grpSpPr>
          <a:xfrm>
            <a:off x="8239125" y="76200"/>
            <a:ext cx="2105025" cy="209550"/>
            <a:chOff x="10248900" y="76200"/>
            <a:chExt cx="1438275" cy="180000"/>
          </a:xfrm>
        </xdr:grpSpPr>
        <xdr:sp macro="" textlink="">
          <xdr:nvSpPr>
            <xdr:cNvPr id="30" name="Rectangle: Rounded Corners 29">
              <a:hlinkClick xmlns:r="http://schemas.openxmlformats.org/officeDocument/2006/relationships" r:id="rId5"/>
              <a:extLst>
                <a:ext uri="{FF2B5EF4-FFF2-40B4-BE49-F238E27FC236}">
                  <a16:creationId xmlns:a16="http://schemas.microsoft.com/office/drawing/2014/main" id="{B5DC6370-0E03-C931-D36C-EA7288A9F7FE}"/>
                </a:ext>
              </a:extLst>
            </xdr:cNvPr>
            <xdr:cNvSpPr/>
          </xdr:nvSpPr>
          <xdr:spPr>
            <a:xfrm>
              <a:off x="10248900" y="76200"/>
              <a:ext cx="1438275" cy="180000"/>
            </a:xfrm>
            <a:prstGeom prst="round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100" b="1">
                  <a:solidFill>
                    <a:schemeClr val="tx1"/>
                  </a:solidFill>
                  <a:latin typeface="+mn-lt"/>
                  <a:ea typeface="+mn-ea"/>
                  <a:cs typeface="+mn-cs"/>
                </a:rPr>
                <a:t>PIVOT</a:t>
              </a:r>
              <a:r>
                <a:rPr lang="en-US" sz="1100" b="1" baseline="0">
                  <a:solidFill>
                    <a:schemeClr val="tx1"/>
                  </a:solidFill>
                  <a:latin typeface="+mn-lt"/>
                  <a:ea typeface="+mn-ea"/>
                  <a:cs typeface="+mn-cs"/>
                </a:rPr>
                <a:t> </a:t>
              </a:r>
              <a:endParaRPr lang="en-US" sz="1100" b="1">
                <a:solidFill>
                  <a:schemeClr val="tx1"/>
                </a:solidFill>
                <a:latin typeface="+mn-lt"/>
                <a:ea typeface="+mn-ea"/>
                <a:cs typeface="+mn-cs"/>
              </a:endParaRPr>
            </a:p>
          </xdr:txBody>
        </xdr:sp>
        <xdr:grpSp>
          <xdr:nvGrpSpPr>
            <xdr:cNvPr id="31" name="Group 30">
              <a:extLst>
                <a:ext uri="{FF2B5EF4-FFF2-40B4-BE49-F238E27FC236}">
                  <a16:creationId xmlns:a16="http://schemas.microsoft.com/office/drawing/2014/main" id="{C98544ED-AE04-AE2D-BC0B-A8E5FF3C7B98}"/>
                </a:ext>
              </a:extLst>
            </xdr:cNvPr>
            <xdr:cNvGrpSpPr/>
          </xdr:nvGrpSpPr>
          <xdr:grpSpPr>
            <a:xfrm>
              <a:off x="10306050" y="85725"/>
              <a:ext cx="219075" cy="161925"/>
              <a:chOff x="8839200" y="85725"/>
              <a:chExt cx="219075" cy="161925"/>
            </a:xfrm>
            <a:solidFill>
              <a:schemeClr val="tx1"/>
            </a:solidFill>
          </xdr:grpSpPr>
          <xdr:sp macro="" textlink="">
            <xdr:nvSpPr>
              <xdr:cNvPr id="32" name="Arrow: Chevron 31">
                <a:extLst>
                  <a:ext uri="{FF2B5EF4-FFF2-40B4-BE49-F238E27FC236}">
                    <a16:creationId xmlns:a16="http://schemas.microsoft.com/office/drawing/2014/main" id="{A2771CDB-5D7E-3C4C-261D-DAEA8C1D3AD4}"/>
                  </a:ext>
                </a:extLst>
              </xdr:cNvPr>
              <xdr:cNvSpPr/>
            </xdr:nvSpPr>
            <xdr:spPr>
              <a:xfrm>
                <a:off x="8839200" y="85725"/>
                <a:ext cx="123825" cy="161925"/>
              </a:xfrm>
              <a:prstGeom prst="chevron">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sp macro="" textlink="">
            <xdr:nvSpPr>
              <xdr:cNvPr id="33" name="Arrow: Chevron 32">
                <a:extLst>
                  <a:ext uri="{FF2B5EF4-FFF2-40B4-BE49-F238E27FC236}">
                    <a16:creationId xmlns:a16="http://schemas.microsoft.com/office/drawing/2014/main" id="{BEEDC59F-5648-BD34-C36D-E56DB571B514}"/>
                  </a:ext>
                </a:extLst>
              </xdr:cNvPr>
              <xdr:cNvSpPr/>
            </xdr:nvSpPr>
            <xdr:spPr>
              <a:xfrm>
                <a:off x="8934450" y="85725"/>
                <a:ext cx="123825" cy="161925"/>
              </a:xfrm>
              <a:prstGeom prst="chevron">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grpSp>
      </xdr:grpSp>
      <xdr:grpSp>
        <xdr:nvGrpSpPr>
          <xdr:cNvPr id="19" name="Group 18">
            <a:extLst>
              <a:ext uri="{FF2B5EF4-FFF2-40B4-BE49-F238E27FC236}">
                <a16:creationId xmlns:a16="http://schemas.microsoft.com/office/drawing/2014/main" id="{95238B71-E626-B70D-7FD8-29D3BB20F404}"/>
              </a:ext>
            </a:extLst>
          </xdr:cNvPr>
          <xdr:cNvGrpSpPr/>
        </xdr:nvGrpSpPr>
        <xdr:grpSpPr>
          <a:xfrm>
            <a:off x="10372725" y="76200"/>
            <a:ext cx="2105025" cy="209550"/>
            <a:chOff x="11706225" y="76200"/>
            <a:chExt cx="1438275" cy="180000"/>
          </a:xfrm>
        </xdr:grpSpPr>
        <xdr:sp macro="" textlink="">
          <xdr:nvSpPr>
            <xdr:cNvPr id="26" name="Rectangle: Rounded Corners 25">
              <a:hlinkClick xmlns:r="http://schemas.openxmlformats.org/officeDocument/2006/relationships" r:id="rId6"/>
              <a:extLst>
                <a:ext uri="{FF2B5EF4-FFF2-40B4-BE49-F238E27FC236}">
                  <a16:creationId xmlns:a16="http://schemas.microsoft.com/office/drawing/2014/main" id="{B27F1FAB-AC04-71A9-A210-CE2EE0B1540B}"/>
                </a:ext>
              </a:extLst>
            </xdr:cNvPr>
            <xdr:cNvSpPr/>
          </xdr:nvSpPr>
          <xdr:spPr>
            <a:xfrm>
              <a:off x="11706225" y="76200"/>
              <a:ext cx="1438275" cy="180000"/>
            </a:xfrm>
            <a:prstGeom prst="round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100" b="1">
                  <a:solidFill>
                    <a:schemeClr val="tx1"/>
                  </a:solidFill>
                  <a:latin typeface="+mn-lt"/>
                  <a:ea typeface="+mn-ea"/>
                  <a:cs typeface="+mn-cs"/>
                </a:rPr>
                <a:t>SALES</a:t>
              </a:r>
              <a:r>
                <a:rPr lang="en-US" sz="1100" b="1" baseline="0">
                  <a:solidFill>
                    <a:schemeClr val="tx1"/>
                  </a:solidFill>
                  <a:latin typeface="+mn-lt"/>
                  <a:ea typeface="+mn-ea"/>
                  <a:cs typeface="+mn-cs"/>
                </a:rPr>
                <a:t> DASHBOARD</a:t>
              </a:r>
              <a:endParaRPr lang="en-US" sz="1100" b="1">
                <a:solidFill>
                  <a:schemeClr val="tx1"/>
                </a:solidFill>
                <a:latin typeface="+mn-lt"/>
                <a:ea typeface="+mn-ea"/>
                <a:cs typeface="+mn-cs"/>
              </a:endParaRPr>
            </a:p>
          </xdr:txBody>
        </xdr:sp>
        <xdr:grpSp>
          <xdr:nvGrpSpPr>
            <xdr:cNvPr id="27" name="Group 26">
              <a:extLst>
                <a:ext uri="{FF2B5EF4-FFF2-40B4-BE49-F238E27FC236}">
                  <a16:creationId xmlns:a16="http://schemas.microsoft.com/office/drawing/2014/main" id="{4FB0E0A0-B58D-7E27-C17B-D0525D0CD082}"/>
                </a:ext>
              </a:extLst>
            </xdr:cNvPr>
            <xdr:cNvGrpSpPr/>
          </xdr:nvGrpSpPr>
          <xdr:grpSpPr>
            <a:xfrm>
              <a:off x="11772900" y="85725"/>
              <a:ext cx="219075" cy="161925"/>
              <a:chOff x="8839200" y="85725"/>
              <a:chExt cx="219075" cy="161925"/>
            </a:xfrm>
            <a:solidFill>
              <a:schemeClr val="tx1"/>
            </a:solidFill>
          </xdr:grpSpPr>
          <xdr:sp macro="" textlink="">
            <xdr:nvSpPr>
              <xdr:cNvPr id="28" name="Arrow: Chevron 27">
                <a:extLst>
                  <a:ext uri="{FF2B5EF4-FFF2-40B4-BE49-F238E27FC236}">
                    <a16:creationId xmlns:a16="http://schemas.microsoft.com/office/drawing/2014/main" id="{787EACC9-C3B8-F5D7-CF46-A397F93ACA41}"/>
                  </a:ext>
                </a:extLst>
              </xdr:cNvPr>
              <xdr:cNvSpPr/>
            </xdr:nvSpPr>
            <xdr:spPr>
              <a:xfrm>
                <a:off x="8839200" y="85725"/>
                <a:ext cx="123825" cy="161925"/>
              </a:xfrm>
              <a:prstGeom prst="chevron">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sp macro="" textlink="">
            <xdr:nvSpPr>
              <xdr:cNvPr id="29" name="Arrow: Chevron 28">
                <a:extLst>
                  <a:ext uri="{FF2B5EF4-FFF2-40B4-BE49-F238E27FC236}">
                    <a16:creationId xmlns:a16="http://schemas.microsoft.com/office/drawing/2014/main" id="{9DAF2566-80B3-2FB0-95A8-81DABB01C440}"/>
                  </a:ext>
                </a:extLst>
              </xdr:cNvPr>
              <xdr:cNvSpPr/>
            </xdr:nvSpPr>
            <xdr:spPr>
              <a:xfrm>
                <a:off x="8934450" y="85725"/>
                <a:ext cx="123825" cy="161925"/>
              </a:xfrm>
              <a:prstGeom prst="chevron">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grpSp>
      </xdr:grpSp>
      <xdr:grpSp>
        <xdr:nvGrpSpPr>
          <xdr:cNvPr id="20" name="Group 19">
            <a:extLst>
              <a:ext uri="{FF2B5EF4-FFF2-40B4-BE49-F238E27FC236}">
                <a16:creationId xmlns:a16="http://schemas.microsoft.com/office/drawing/2014/main" id="{8A293678-B7C1-576A-30E1-6914DB658963}"/>
              </a:ext>
            </a:extLst>
          </xdr:cNvPr>
          <xdr:cNvGrpSpPr/>
        </xdr:nvGrpSpPr>
        <xdr:grpSpPr>
          <a:xfrm>
            <a:off x="12505524" y="76200"/>
            <a:ext cx="2107550" cy="209550"/>
            <a:chOff x="13173074" y="76200"/>
            <a:chExt cx="1440000" cy="180000"/>
          </a:xfrm>
        </xdr:grpSpPr>
        <xdr:sp macro="" textlink="">
          <xdr:nvSpPr>
            <xdr:cNvPr id="22" name="Rectangle: Rounded Corners 21">
              <a:hlinkClick xmlns:r="http://schemas.openxmlformats.org/officeDocument/2006/relationships" r:id="rId7"/>
              <a:extLst>
                <a:ext uri="{FF2B5EF4-FFF2-40B4-BE49-F238E27FC236}">
                  <a16:creationId xmlns:a16="http://schemas.microsoft.com/office/drawing/2014/main" id="{5C0EFB4F-11DD-2894-117F-5F12093C3922}"/>
                </a:ext>
              </a:extLst>
            </xdr:cNvPr>
            <xdr:cNvSpPr/>
          </xdr:nvSpPr>
          <xdr:spPr>
            <a:xfrm>
              <a:off x="13173074" y="76200"/>
              <a:ext cx="1440000" cy="180000"/>
            </a:xfrm>
            <a:prstGeom prst="round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r"/>
              <a:r>
                <a:rPr lang="en-US" sz="1100" b="1">
                  <a:solidFill>
                    <a:schemeClr val="tx1"/>
                  </a:solidFill>
                  <a:latin typeface="+mn-lt"/>
                  <a:ea typeface="+mn-ea"/>
                  <a:cs typeface="+mn-cs"/>
                </a:rPr>
                <a:t>REAGION</a:t>
              </a:r>
              <a:r>
                <a:rPr lang="en-US" sz="1100" b="1" baseline="0">
                  <a:solidFill>
                    <a:schemeClr val="tx1"/>
                  </a:solidFill>
                  <a:latin typeface="+mn-lt"/>
                  <a:ea typeface="+mn-ea"/>
                  <a:cs typeface="+mn-cs"/>
                </a:rPr>
                <a:t> DASHBOARD</a:t>
              </a:r>
              <a:endParaRPr lang="en-US" sz="1100" b="1">
                <a:solidFill>
                  <a:schemeClr val="tx1"/>
                </a:solidFill>
                <a:latin typeface="+mn-lt"/>
                <a:ea typeface="+mn-ea"/>
                <a:cs typeface="+mn-cs"/>
              </a:endParaRPr>
            </a:p>
          </xdr:txBody>
        </xdr:sp>
        <xdr:grpSp>
          <xdr:nvGrpSpPr>
            <xdr:cNvPr id="23" name="Group 22">
              <a:extLst>
                <a:ext uri="{FF2B5EF4-FFF2-40B4-BE49-F238E27FC236}">
                  <a16:creationId xmlns:a16="http://schemas.microsoft.com/office/drawing/2014/main" id="{76341356-74A3-5284-3C1A-59F7B14B6C00}"/>
                </a:ext>
              </a:extLst>
            </xdr:cNvPr>
            <xdr:cNvGrpSpPr/>
          </xdr:nvGrpSpPr>
          <xdr:grpSpPr>
            <a:xfrm>
              <a:off x="13239750" y="85725"/>
              <a:ext cx="219075" cy="161925"/>
              <a:chOff x="8839200" y="85725"/>
              <a:chExt cx="219075" cy="161925"/>
            </a:xfrm>
            <a:solidFill>
              <a:schemeClr val="tx1"/>
            </a:solidFill>
          </xdr:grpSpPr>
          <xdr:sp macro="" textlink="">
            <xdr:nvSpPr>
              <xdr:cNvPr id="24" name="Arrow: Chevron 23">
                <a:extLst>
                  <a:ext uri="{FF2B5EF4-FFF2-40B4-BE49-F238E27FC236}">
                    <a16:creationId xmlns:a16="http://schemas.microsoft.com/office/drawing/2014/main" id="{0E536AD4-EC26-F6AA-63B9-F0DEE4DC7DD7}"/>
                  </a:ext>
                </a:extLst>
              </xdr:cNvPr>
              <xdr:cNvSpPr/>
            </xdr:nvSpPr>
            <xdr:spPr>
              <a:xfrm>
                <a:off x="8839200" y="85725"/>
                <a:ext cx="123825" cy="161925"/>
              </a:xfrm>
              <a:prstGeom prst="chevron">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sp macro="" textlink="">
            <xdr:nvSpPr>
              <xdr:cNvPr id="25" name="Arrow: Chevron 24">
                <a:extLst>
                  <a:ext uri="{FF2B5EF4-FFF2-40B4-BE49-F238E27FC236}">
                    <a16:creationId xmlns:a16="http://schemas.microsoft.com/office/drawing/2014/main" id="{D7472493-614B-A97B-FBAE-8A684D5B418D}"/>
                  </a:ext>
                </a:extLst>
              </xdr:cNvPr>
              <xdr:cNvSpPr/>
            </xdr:nvSpPr>
            <xdr:spPr>
              <a:xfrm>
                <a:off x="8934450" y="85725"/>
                <a:ext cx="123825" cy="161925"/>
              </a:xfrm>
              <a:prstGeom prst="chevron">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grpSp>
      </xdr:grpSp>
      <xdr:pic>
        <xdr:nvPicPr>
          <xdr:cNvPr id="21" name="Picture 20">
            <a:extLst>
              <a:ext uri="{FF2B5EF4-FFF2-40B4-BE49-F238E27FC236}">
                <a16:creationId xmlns:a16="http://schemas.microsoft.com/office/drawing/2014/main" id="{CC1ED2E3-6150-1067-837D-B616A8AA5D9C}"/>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209550" y="57150"/>
            <a:ext cx="260620" cy="238125"/>
          </a:xfrm>
          <a:prstGeom prst="rect">
            <a:avLst/>
          </a:prstGeom>
        </xdr:spPr>
      </xdr:pic>
    </xdr:grpSp>
    <xdr:clientData/>
  </xdr:twoCellAnchor>
  <xdr:twoCellAnchor>
    <xdr:from>
      <xdr:col>8</xdr:col>
      <xdr:colOff>295275</xdr:colOff>
      <xdr:row>4</xdr:row>
      <xdr:rowOff>171450</xdr:rowOff>
    </xdr:from>
    <xdr:to>
      <xdr:col>16</xdr:col>
      <xdr:colOff>152400</xdr:colOff>
      <xdr:row>16</xdr:row>
      <xdr:rowOff>161925</xdr:rowOff>
    </xdr:to>
    <xdr:sp macro="" textlink="">
      <xdr:nvSpPr>
        <xdr:cNvPr id="38" name="Rectangle: Rounded Corners 37">
          <a:extLst>
            <a:ext uri="{FF2B5EF4-FFF2-40B4-BE49-F238E27FC236}">
              <a16:creationId xmlns:a16="http://schemas.microsoft.com/office/drawing/2014/main" id="{A9BDE79E-23F2-29D8-7033-1261B1395132}"/>
            </a:ext>
          </a:extLst>
        </xdr:cNvPr>
        <xdr:cNvSpPr/>
      </xdr:nvSpPr>
      <xdr:spPr>
        <a:xfrm>
          <a:off x="5172075" y="933450"/>
          <a:ext cx="4733925" cy="2276475"/>
        </a:xfrm>
        <a:prstGeom prst="roundRect">
          <a:avLst>
            <a:gd name="adj" fmla="val 9977"/>
          </a:avLst>
        </a:prstGeom>
        <a:solidFill>
          <a:sysClr val="window" lastClr="FFFFFF"/>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390524</xdr:colOff>
      <xdr:row>5</xdr:row>
      <xdr:rowOff>142874</xdr:rowOff>
    </xdr:from>
    <xdr:to>
      <xdr:col>12</xdr:col>
      <xdr:colOff>104774</xdr:colOff>
      <xdr:row>10</xdr:row>
      <xdr:rowOff>47624</xdr:rowOff>
    </xdr:to>
    <xdr:grpSp>
      <xdr:nvGrpSpPr>
        <xdr:cNvPr id="51" name="Group 50">
          <a:extLst>
            <a:ext uri="{FF2B5EF4-FFF2-40B4-BE49-F238E27FC236}">
              <a16:creationId xmlns:a16="http://schemas.microsoft.com/office/drawing/2014/main" id="{114B1126-F041-9D11-2A19-5BF1A5AAA19A}"/>
            </a:ext>
          </a:extLst>
        </xdr:cNvPr>
        <xdr:cNvGrpSpPr/>
      </xdr:nvGrpSpPr>
      <xdr:grpSpPr>
        <a:xfrm>
          <a:off x="5267324" y="1095374"/>
          <a:ext cx="2152650" cy="857250"/>
          <a:chOff x="5262562" y="1090612"/>
          <a:chExt cx="2152650" cy="857250"/>
        </a:xfrm>
        <a:solidFill>
          <a:sysClr val="window" lastClr="FFFFFF"/>
        </a:solidFill>
        <a:effectLst>
          <a:outerShdw blurRad="50800" dist="38100" dir="2700000" algn="tl" rotWithShape="0">
            <a:prstClr val="black">
              <a:alpha val="40000"/>
            </a:prstClr>
          </a:outerShdw>
        </a:effectLst>
      </xdr:grpSpPr>
      <xdr:sp macro="" textlink="">
        <xdr:nvSpPr>
          <xdr:cNvPr id="43" name="Rectangle: Rounded Corners 42">
            <a:extLst>
              <a:ext uri="{FF2B5EF4-FFF2-40B4-BE49-F238E27FC236}">
                <a16:creationId xmlns:a16="http://schemas.microsoft.com/office/drawing/2014/main" id="{010BC201-6EF8-BB93-ADE1-592AD50ED510}"/>
              </a:ext>
            </a:extLst>
          </xdr:cNvPr>
          <xdr:cNvSpPr/>
        </xdr:nvSpPr>
        <xdr:spPr>
          <a:xfrm>
            <a:off x="5262562" y="1090612"/>
            <a:ext cx="2152650" cy="857250"/>
          </a:xfrm>
          <a:prstGeom prst="roundRect">
            <a:avLst/>
          </a:prstGeom>
          <a:grp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a:solidFill>
                  <a:sysClr val="windowText" lastClr="000000"/>
                </a:solidFill>
                <a:latin typeface="Arial Black" panose="020B0A04020102020204" pitchFamily="34" charset="0"/>
                <a:ea typeface="+mn-ea"/>
                <a:cs typeface="+mn-cs"/>
              </a:rPr>
              <a:t>TOTAL SALES</a:t>
            </a:r>
          </a:p>
        </xdr:txBody>
      </xdr:sp>
      <xdr:sp macro="" textlink="'RAW DATA'!Q3">
        <xdr:nvSpPr>
          <xdr:cNvPr id="44" name="Rectangle 43">
            <a:extLst>
              <a:ext uri="{FF2B5EF4-FFF2-40B4-BE49-F238E27FC236}">
                <a16:creationId xmlns:a16="http://schemas.microsoft.com/office/drawing/2014/main" id="{56C648A4-2BCE-E4F2-D970-D49040CB4ACD}"/>
              </a:ext>
            </a:extLst>
          </xdr:cNvPr>
          <xdr:cNvSpPr/>
        </xdr:nvSpPr>
        <xdr:spPr>
          <a:xfrm>
            <a:off x="5419725" y="1504950"/>
            <a:ext cx="1828800" cy="381000"/>
          </a:xfrm>
          <a:prstGeom prst="rect">
            <a:avLst/>
          </a:prstGeom>
          <a:grp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E77A73F4-F640-42D0-B670-A22AD96B86D1}" type="TxLink">
              <a:rPr lang="en-US" sz="2000" b="0" i="0" u="none" strike="noStrike">
                <a:ln>
                  <a:noFill/>
                </a:ln>
                <a:solidFill>
                  <a:sysClr val="windowText" lastClr="000000"/>
                </a:solidFill>
                <a:latin typeface="Berlin Sans FB Demi" panose="020E0802020502020306" pitchFamily="34" charset="0"/>
                <a:cs typeface="Calibri"/>
              </a:rPr>
              <a:pPr algn="l"/>
              <a:t>38945</a:t>
            </a:fld>
            <a:endParaRPr lang="en-US" sz="2000" b="0">
              <a:ln>
                <a:noFill/>
              </a:ln>
              <a:solidFill>
                <a:sysClr val="windowText" lastClr="000000"/>
              </a:solidFill>
              <a:latin typeface="Berlin Sans FB Demi" panose="020E0802020502020306" pitchFamily="34" charset="0"/>
            </a:endParaRPr>
          </a:p>
        </xdr:txBody>
      </xdr:sp>
    </xdr:grpSp>
    <xdr:clientData/>
  </xdr:twoCellAnchor>
  <xdr:twoCellAnchor>
    <xdr:from>
      <xdr:col>12</xdr:col>
      <xdr:colOff>319086</xdr:colOff>
      <xdr:row>11</xdr:row>
      <xdr:rowOff>14286</xdr:rowOff>
    </xdr:from>
    <xdr:to>
      <xdr:col>16</xdr:col>
      <xdr:colOff>33336</xdr:colOff>
      <xdr:row>15</xdr:row>
      <xdr:rowOff>109536</xdr:rowOff>
    </xdr:to>
    <xdr:grpSp>
      <xdr:nvGrpSpPr>
        <xdr:cNvPr id="49" name="Group 48">
          <a:extLst>
            <a:ext uri="{FF2B5EF4-FFF2-40B4-BE49-F238E27FC236}">
              <a16:creationId xmlns:a16="http://schemas.microsoft.com/office/drawing/2014/main" id="{27BFE106-B013-CA0C-22C5-AE733CBB5B8A}"/>
            </a:ext>
          </a:extLst>
        </xdr:cNvPr>
        <xdr:cNvGrpSpPr/>
      </xdr:nvGrpSpPr>
      <xdr:grpSpPr>
        <a:xfrm>
          <a:off x="7634286" y="2109786"/>
          <a:ext cx="2152650" cy="857250"/>
          <a:chOff x="7581899" y="2133599"/>
          <a:chExt cx="2152650" cy="857250"/>
        </a:xfrm>
        <a:solidFill>
          <a:sysClr val="window" lastClr="FFFFFF"/>
        </a:solidFill>
        <a:effectLst>
          <a:outerShdw blurRad="50800" dist="38100" dir="2700000" algn="tl" rotWithShape="0">
            <a:prstClr val="black">
              <a:alpha val="40000"/>
            </a:prstClr>
          </a:outerShdw>
        </a:effectLst>
      </xdr:grpSpPr>
      <xdr:sp macro="" textlink="">
        <xdr:nvSpPr>
          <xdr:cNvPr id="40" name="Rectangle: Rounded Corners 39">
            <a:extLst>
              <a:ext uri="{FF2B5EF4-FFF2-40B4-BE49-F238E27FC236}">
                <a16:creationId xmlns:a16="http://schemas.microsoft.com/office/drawing/2014/main" id="{ED63EF86-6A15-7FE8-4F04-F5A7101CBD7E}"/>
              </a:ext>
            </a:extLst>
          </xdr:cNvPr>
          <xdr:cNvSpPr/>
        </xdr:nvSpPr>
        <xdr:spPr>
          <a:xfrm>
            <a:off x="7581899" y="2133599"/>
            <a:ext cx="2152650" cy="857250"/>
          </a:xfrm>
          <a:prstGeom prst="roundRect">
            <a:avLst/>
          </a:prstGeom>
          <a:grp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a:solidFill>
                  <a:sysClr val="windowText" lastClr="000000"/>
                </a:solidFill>
                <a:latin typeface="Arial Black" panose="020B0A04020102020204" pitchFamily="34" charset="0"/>
                <a:ea typeface="+mn-ea"/>
                <a:cs typeface="+mn-cs"/>
              </a:rPr>
              <a:t>MIN</a:t>
            </a:r>
          </a:p>
          <a:p>
            <a:pPr algn="l"/>
            <a:endParaRPr lang="en-US" sz="1100">
              <a:solidFill>
                <a:sysClr val="windowText" lastClr="000000"/>
              </a:solidFill>
            </a:endParaRPr>
          </a:p>
        </xdr:txBody>
      </xdr:sp>
      <xdr:sp macro="" textlink="'RAW DATA'!Q6">
        <xdr:nvSpPr>
          <xdr:cNvPr id="45" name="Rectangle 44">
            <a:extLst>
              <a:ext uri="{FF2B5EF4-FFF2-40B4-BE49-F238E27FC236}">
                <a16:creationId xmlns:a16="http://schemas.microsoft.com/office/drawing/2014/main" id="{1D095450-3852-4AA1-5822-C97DC8C20AFA}"/>
              </a:ext>
            </a:extLst>
          </xdr:cNvPr>
          <xdr:cNvSpPr/>
        </xdr:nvSpPr>
        <xdr:spPr>
          <a:xfrm>
            <a:off x="7739062" y="2566987"/>
            <a:ext cx="1828800" cy="381000"/>
          </a:xfrm>
          <a:prstGeom prst="rect">
            <a:avLst/>
          </a:prstGeom>
          <a:grp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l"/>
            <a:fld id="{43F7F8ED-9AA7-4BC3-B99F-0A5697133A23}" type="TxLink">
              <a:rPr lang="en-US" sz="2000" b="0" i="0" u="none" strike="noStrike">
                <a:ln>
                  <a:noFill/>
                </a:ln>
                <a:solidFill>
                  <a:sysClr val="windowText" lastClr="000000"/>
                </a:solidFill>
                <a:latin typeface="Berlin Sans FB Demi" panose="020E0802020502020306" pitchFamily="34" charset="0"/>
                <a:cs typeface="Calibri"/>
              </a:rPr>
              <a:pPr algn="l"/>
              <a:t>10</a:t>
            </a:fld>
            <a:endParaRPr lang="en-US" sz="2000">
              <a:ln>
                <a:noFill/>
              </a:ln>
              <a:solidFill>
                <a:sysClr val="windowText" lastClr="000000"/>
              </a:solidFill>
              <a:latin typeface="Berlin Sans FB Demi" panose="020E0802020502020306" pitchFamily="34" charset="0"/>
            </a:endParaRPr>
          </a:p>
        </xdr:txBody>
      </xdr:sp>
    </xdr:grpSp>
    <xdr:clientData/>
  </xdr:twoCellAnchor>
  <xdr:twoCellAnchor>
    <xdr:from>
      <xdr:col>8</xdr:col>
      <xdr:colOff>390524</xdr:colOff>
      <xdr:row>11</xdr:row>
      <xdr:rowOff>14286</xdr:rowOff>
    </xdr:from>
    <xdr:to>
      <xdr:col>12</xdr:col>
      <xdr:colOff>104774</xdr:colOff>
      <xdr:row>15</xdr:row>
      <xdr:rowOff>109536</xdr:rowOff>
    </xdr:to>
    <xdr:grpSp>
      <xdr:nvGrpSpPr>
        <xdr:cNvPr id="48" name="Group 47">
          <a:extLst>
            <a:ext uri="{FF2B5EF4-FFF2-40B4-BE49-F238E27FC236}">
              <a16:creationId xmlns:a16="http://schemas.microsoft.com/office/drawing/2014/main" id="{4DC62A39-9CFC-25D3-9654-07AEDFC9F7AA}"/>
            </a:ext>
          </a:extLst>
        </xdr:cNvPr>
        <xdr:cNvGrpSpPr/>
      </xdr:nvGrpSpPr>
      <xdr:grpSpPr>
        <a:xfrm>
          <a:off x="5267324" y="2109786"/>
          <a:ext cx="2152650" cy="857250"/>
          <a:chOff x="5272087" y="2171699"/>
          <a:chExt cx="2152650" cy="857250"/>
        </a:xfrm>
        <a:solidFill>
          <a:sysClr val="window" lastClr="FFFFFF"/>
        </a:solidFill>
        <a:effectLst>
          <a:outerShdw blurRad="50800" dist="38100" dir="2700000" algn="tl" rotWithShape="0">
            <a:prstClr val="black">
              <a:alpha val="40000"/>
            </a:prstClr>
          </a:outerShdw>
        </a:effectLst>
      </xdr:grpSpPr>
      <xdr:sp macro="" textlink="">
        <xdr:nvSpPr>
          <xdr:cNvPr id="42" name="Rectangle: Rounded Corners 41">
            <a:extLst>
              <a:ext uri="{FF2B5EF4-FFF2-40B4-BE49-F238E27FC236}">
                <a16:creationId xmlns:a16="http://schemas.microsoft.com/office/drawing/2014/main" id="{7DA5FA28-2BEF-48C2-D069-97EB22D0846F}"/>
              </a:ext>
            </a:extLst>
          </xdr:cNvPr>
          <xdr:cNvSpPr/>
        </xdr:nvSpPr>
        <xdr:spPr>
          <a:xfrm>
            <a:off x="5272087" y="2171699"/>
            <a:ext cx="2152650" cy="857250"/>
          </a:xfrm>
          <a:prstGeom prst="roundRect">
            <a:avLst/>
          </a:prstGeom>
          <a:grp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a:solidFill>
                  <a:sysClr val="windowText" lastClr="000000"/>
                </a:solidFill>
                <a:latin typeface="Arial Black" panose="020B0A04020102020204" pitchFamily="34" charset="0"/>
                <a:ea typeface="+mn-ea"/>
                <a:cs typeface="+mn-cs"/>
              </a:rPr>
              <a:t>MAX</a:t>
            </a:r>
          </a:p>
        </xdr:txBody>
      </xdr:sp>
      <xdr:sp macro="" textlink="'RAW DATA'!Q5">
        <xdr:nvSpPr>
          <xdr:cNvPr id="46" name="Rectangle 45">
            <a:extLst>
              <a:ext uri="{FF2B5EF4-FFF2-40B4-BE49-F238E27FC236}">
                <a16:creationId xmlns:a16="http://schemas.microsoft.com/office/drawing/2014/main" id="{15912A85-F9A7-1088-B792-1A20831AA7ED}"/>
              </a:ext>
            </a:extLst>
          </xdr:cNvPr>
          <xdr:cNvSpPr/>
        </xdr:nvSpPr>
        <xdr:spPr>
          <a:xfrm>
            <a:off x="5419725" y="2566987"/>
            <a:ext cx="1828800" cy="381000"/>
          </a:xfrm>
          <a:prstGeom prst="rect">
            <a:avLst/>
          </a:prstGeom>
          <a:solidFill>
            <a:sysClr val="window" lastClr="FFFFFF"/>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46D013EC-07DF-4C23-B346-95E0664B73C2}" type="TxLink">
              <a:rPr lang="en-US" sz="2000" b="0" i="0" u="none" strike="noStrike">
                <a:ln>
                  <a:noFill/>
                </a:ln>
                <a:solidFill>
                  <a:sysClr val="windowText" lastClr="000000"/>
                </a:solidFill>
                <a:latin typeface="Berlin Sans FB Demi" panose="020E0802020502020306" pitchFamily="34" charset="0"/>
                <a:cs typeface="Calibri"/>
              </a:rPr>
              <a:pPr algn="l"/>
              <a:t>99</a:t>
            </a:fld>
            <a:endParaRPr lang="en-US" sz="1100">
              <a:ln>
                <a:noFill/>
              </a:ln>
              <a:solidFill>
                <a:sysClr val="windowText" lastClr="000000"/>
              </a:solidFill>
              <a:latin typeface="Berlin Sans FB Demi" panose="020E0802020502020306" pitchFamily="34" charset="0"/>
            </a:endParaRPr>
          </a:p>
        </xdr:txBody>
      </xdr:sp>
    </xdr:grpSp>
    <xdr:clientData/>
  </xdr:twoCellAnchor>
  <xdr:twoCellAnchor>
    <xdr:from>
      <xdr:col>12</xdr:col>
      <xdr:colOff>319086</xdr:colOff>
      <xdr:row>5</xdr:row>
      <xdr:rowOff>142874</xdr:rowOff>
    </xdr:from>
    <xdr:to>
      <xdr:col>16</xdr:col>
      <xdr:colOff>33336</xdr:colOff>
      <xdr:row>10</xdr:row>
      <xdr:rowOff>47624</xdr:rowOff>
    </xdr:to>
    <xdr:grpSp>
      <xdr:nvGrpSpPr>
        <xdr:cNvPr id="50" name="Group 49">
          <a:extLst>
            <a:ext uri="{FF2B5EF4-FFF2-40B4-BE49-F238E27FC236}">
              <a16:creationId xmlns:a16="http://schemas.microsoft.com/office/drawing/2014/main" id="{415419A2-0619-C629-CD18-7003BF2E7EE4}"/>
            </a:ext>
          </a:extLst>
        </xdr:cNvPr>
        <xdr:cNvGrpSpPr/>
      </xdr:nvGrpSpPr>
      <xdr:grpSpPr>
        <a:xfrm>
          <a:off x="7634286" y="1095374"/>
          <a:ext cx="2152650" cy="857250"/>
          <a:chOff x="7581899" y="1100137"/>
          <a:chExt cx="2152650" cy="857250"/>
        </a:xfrm>
        <a:solidFill>
          <a:sysClr val="window" lastClr="FFFFFF"/>
        </a:solidFill>
        <a:effectLst>
          <a:outerShdw blurRad="50800" dist="38100" dir="2700000" algn="tl" rotWithShape="0">
            <a:prstClr val="black">
              <a:alpha val="40000"/>
            </a:prstClr>
          </a:outerShdw>
        </a:effectLst>
      </xdr:grpSpPr>
      <xdr:sp macro="" textlink="">
        <xdr:nvSpPr>
          <xdr:cNvPr id="41" name="Rectangle: Rounded Corners 40">
            <a:extLst>
              <a:ext uri="{FF2B5EF4-FFF2-40B4-BE49-F238E27FC236}">
                <a16:creationId xmlns:a16="http://schemas.microsoft.com/office/drawing/2014/main" id="{B59606C4-9AF7-42C4-F1E4-FF6443B2638C}"/>
              </a:ext>
            </a:extLst>
          </xdr:cNvPr>
          <xdr:cNvSpPr/>
        </xdr:nvSpPr>
        <xdr:spPr>
          <a:xfrm>
            <a:off x="7581899" y="1100137"/>
            <a:ext cx="2152650" cy="857250"/>
          </a:xfrm>
          <a:prstGeom prst="roundRect">
            <a:avLst/>
          </a:prstGeom>
          <a:grp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600">
                <a:solidFill>
                  <a:sysClr val="windowText" lastClr="000000"/>
                </a:solidFill>
                <a:latin typeface="Arial Black" panose="020B0A04020102020204" pitchFamily="34" charset="0"/>
                <a:ea typeface="+mn-ea"/>
                <a:cs typeface="+mn-cs"/>
              </a:rPr>
              <a:t>SALES</a:t>
            </a:r>
            <a:endParaRPr lang="en-US" sz="1100">
              <a:solidFill>
                <a:sysClr val="windowText" lastClr="000000"/>
              </a:solidFill>
              <a:latin typeface="Arial Black" panose="020B0A04020102020204" pitchFamily="34" charset="0"/>
              <a:ea typeface="+mn-ea"/>
              <a:cs typeface="+mn-cs"/>
            </a:endParaRPr>
          </a:p>
        </xdr:txBody>
      </xdr:sp>
      <xdr:sp macro="" textlink="'RAW DATA'!Q4">
        <xdr:nvSpPr>
          <xdr:cNvPr id="47" name="Rectangle 46">
            <a:extLst>
              <a:ext uri="{FF2B5EF4-FFF2-40B4-BE49-F238E27FC236}">
                <a16:creationId xmlns:a16="http://schemas.microsoft.com/office/drawing/2014/main" id="{2718DD56-2F1B-F35B-67E9-4FC821EC9D6B}"/>
              </a:ext>
            </a:extLst>
          </xdr:cNvPr>
          <xdr:cNvSpPr/>
        </xdr:nvSpPr>
        <xdr:spPr>
          <a:xfrm>
            <a:off x="7739062" y="1504950"/>
            <a:ext cx="1828800" cy="381000"/>
          </a:xfrm>
          <a:prstGeom prst="rect">
            <a:avLst/>
          </a:prstGeom>
          <a:grp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0919C99B-7353-4C19-898E-AA00F51CFE1A}" type="TxLink">
              <a:rPr lang="en-US" sz="2000" b="0" i="0" u="none" strike="noStrike">
                <a:ln>
                  <a:noFill/>
                </a:ln>
                <a:solidFill>
                  <a:srgbClr val="000000"/>
                </a:solidFill>
                <a:latin typeface="Berlin Sans FB Demi" panose="020E0802020502020306" pitchFamily="34" charset="0"/>
                <a:cs typeface="Calibri"/>
              </a:rPr>
              <a:pPr algn="l"/>
              <a:t>55.24113475</a:t>
            </a:fld>
            <a:endParaRPr lang="en-US" sz="2000">
              <a:ln>
                <a:noFill/>
              </a:ln>
              <a:latin typeface="Berlin Sans FB Demi" panose="020E0802020502020306" pitchFamily="34" charset="0"/>
            </a:endParaRPr>
          </a:p>
        </xdr:txBody>
      </xdr:sp>
    </xdr:grp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ll" refreshedDate="45920.952762152781" createdVersion="8" refreshedVersion="8" minRefreshableVersion="3" recordCount="141" xr:uid="{427AB0D5-7551-435B-A3B2-56F11C886FF3}">
  <cacheSource type="worksheet">
    <worksheetSource ref="A2:L143" sheet="RAW DATA"/>
  </cacheSource>
  <cacheFields count="12">
    <cacheField name="Emp Code" numFmtId="14">
      <sharedItems count="141">
        <s v="Mum-TCL001"/>
        <s v="Mum-TCL002"/>
        <s v="Mum-TCL003"/>
        <s v="Mum-TCL004"/>
        <s v="Mum-TCL005"/>
        <s v="Mum-TCL006"/>
        <s v="Mum-TCL007"/>
        <s v="Mum-TCL008"/>
        <s v="Mum-TCL009"/>
        <s v="Mum-TCL010"/>
        <s v="Mum-TCL011"/>
        <s v="Mum-TCL012"/>
        <s v="Mum-TCL013"/>
        <s v="Mum-TCL014"/>
        <s v="Mum-TCL015"/>
        <s v="Mum-TCL016"/>
        <s v="Mum-TCL017"/>
        <s v="Mum-TCL018"/>
        <s v="Mum-TCL019"/>
        <s v="Mum-TCL020"/>
        <s v="Mum-TCL021"/>
        <s v="Mum-TCL022"/>
        <s v="Mum-TCL023"/>
        <s v="Mum-TCL024"/>
        <s v="Mum-TCL025"/>
        <s v="Mum-TCL026"/>
        <s v="Mum-TCL027"/>
        <s v="Mum-TCL028"/>
        <s v="Mum-TCL029"/>
        <s v="Mum-TCL030"/>
        <s v="Mum-TCL031"/>
        <s v="Mum-TCL032"/>
        <s v="Mum-TCL033"/>
        <s v="Mum-TCL034"/>
        <s v="Mum-TCL035"/>
        <s v="Mum-TCL036"/>
        <s v="Mum-TCL037"/>
        <s v="Mum-TCL038"/>
        <s v="Mum-TCL039"/>
        <s v="Mum-TCL040"/>
        <s v="Mum-TCL041"/>
        <s v="Mum-TCL042"/>
        <s v="Mum-TCL043"/>
        <s v="Mum-TCL044"/>
        <s v="Mum-TCL045"/>
        <s v="Mum-TCL046"/>
        <s v="Mum-TCL047"/>
        <s v="Mum-TCL048"/>
        <s v="Mum-TCL049"/>
        <s v="Mum-TCL050"/>
        <s v="Mum-TCL051"/>
        <s v="Mum-TCL052"/>
        <s v="Mum-TCL053"/>
        <s v="Mum-TCL054"/>
        <s v="Mum-TCL055"/>
        <s v="Mum-TCL056"/>
        <s v="Mum-TCL057"/>
        <s v="Mum-TCL058"/>
        <s v="Mum-TCL059"/>
        <s v="Mum-TCL060"/>
        <s v="Mum-TCL061"/>
        <s v="Mum-TCL062"/>
        <s v="Mum-TCL063"/>
        <s v="Mum-TCL064"/>
        <s v="Mum-TCL065"/>
        <s v="Mum-TCL066"/>
        <s v="Mum-TCL067"/>
        <s v="Mum-TCL068"/>
        <s v="Mum-TCL069"/>
        <s v="Mum-TCL070"/>
        <s v="Mum-TCL071"/>
        <s v="Mum-TCL072"/>
        <s v="Mum-TCL073"/>
        <s v="Mum-TCL074"/>
        <s v="Mum-TCL075"/>
        <s v="Mum-TCL076"/>
        <s v="Mum-TCL077"/>
        <s v="Mum-TCL078"/>
        <s v="Mum-TCL079"/>
        <s v="Mum-TCL080"/>
        <s v="Mum-TCL081"/>
        <s v="Mum-TCL082"/>
        <s v="Mum-TCL083"/>
        <s v="Mum-TCL084"/>
        <s v="Mum-TCL085"/>
        <s v="Mum-TCL086"/>
        <s v="Mum-TCL087"/>
        <s v="Mum-TCL088"/>
        <s v="Mum-TCL089"/>
        <s v="Mum-TCL090"/>
        <s v="Mum-TCL091"/>
        <s v="Mum-TCL092"/>
        <s v="Mum-TCL093"/>
        <s v="Mum-TCL094"/>
        <s v="Mum-TCL095"/>
        <s v="Mum-TCL096"/>
        <s v="Mum-TCL097"/>
        <s v="Mum-TCL098"/>
        <s v="Mum-TCL099"/>
        <s v="Mum-TCL100"/>
        <s v="Mum-TCL101"/>
        <s v="Mum-TCL102"/>
        <s v="Mum-TCL103"/>
        <s v="Mum-TCL104"/>
        <s v="Mum-TCL105"/>
        <s v="Mum-TCL106"/>
        <s v="Mum-TCL107"/>
        <s v="Mum-TCL108"/>
        <s v="Mum-TCL109"/>
        <s v="Mum-TCL110"/>
        <s v="Mum-TCL111"/>
        <s v="Mum-TCL112"/>
        <s v="Mum-TCL113"/>
        <s v="Mum-TCL114"/>
        <s v="Mum-TCL115"/>
        <s v="Mum-TCL116"/>
        <s v="Mum-TCL117"/>
        <s v="Mum-TCL118"/>
        <s v="Mum-TCL119"/>
        <s v="Mum-TCL120"/>
        <s v="Mum-TCL121"/>
        <s v="Mum-TCL122"/>
        <s v="Mum-TCL123"/>
        <s v="Mum-TCL124"/>
        <s v="Mum-TCL125"/>
        <s v="Mum-TCL126"/>
        <s v="Mum-TCL127"/>
        <s v="Mum-TCL128"/>
        <s v="Mum-TCL129"/>
        <s v="Mum-TCL130"/>
        <s v="Mum-TCL131"/>
        <s v="Mum-TCL132"/>
        <s v="Mum-TCL133"/>
        <s v="Mum-TCL134"/>
        <s v="Mum-TCL135"/>
        <s v="Mum-TCL136"/>
        <s v="Mum-TCL137"/>
        <s v="Mum-TCL138"/>
        <s v="Mum-TCL139"/>
        <s v="Mum-TCL140"/>
        <s v="Mum-TCL141"/>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ount="70">
        <n v="49"/>
        <n v="44"/>
        <n v="45"/>
        <n v="52"/>
        <n v="35"/>
        <n v="86"/>
        <n v="84"/>
        <n v="73"/>
        <n v="54"/>
        <n v="63"/>
        <n v="79"/>
        <n v="95"/>
        <n v="83"/>
        <n v="78"/>
        <n v="14"/>
        <n v="37"/>
        <n v="11"/>
        <n v="19"/>
        <n v="93"/>
        <n v="68"/>
        <n v="99"/>
        <n v="57"/>
        <n v="40"/>
        <n v="47"/>
        <n v="16"/>
        <n v="72"/>
        <n v="30"/>
        <n v="65"/>
        <n v="10"/>
        <n v="82"/>
        <n v="91"/>
        <n v="66"/>
        <n v="70"/>
        <n v="74"/>
        <n v="80"/>
        <n v="17"/>
        <n v="88"/>
        <n v="23"/>
        <n v="15"/>
        <n v="18"/>
        <n v="34"/>
        <n v="76"/>
        <n v="43"/>
        <n v="75"/>
        <n v="87"/>
        <n v="51"/>
        <n v="32"/>
        <n v="41"/>
        <n v="12"/>
        <n v="98"/>
        <n v="50"/>
        <n v="71"/>
        <n v="48"/>
        <n v="77"/>
        <n v="81"/>
        <n v="39"/>
        <n v="46"/>
        <n v="96"/>
        <n v="31"/>
        <n v="92"/>
        <n v="55"/>
        <n v="61"/>
        <n v="24"/>
        <n v="26"/>
        <n v="20"/>
        <n v="25"/>
        <n v="60"/>
        <n v="42"/>
        <n v="90"/>
        <n v="85"/>
      </sharedItems>
    </cacheField>
    <cacheField name="Day2" numFmtId="0">
      <sharedItems containsSemiMixedTypes="0" containsString="0" containsNumber="1" containsInteger="1" minValue="11" maxValue="99" count="70">
        <n v="84"/>
        <n v="85"/>
        <n v="79"/>
        <n v="99"/>
        <n v="54"/>
        <n v="31"/>
        <n v="28"/>
        <n v="97"/>
        <n v="26"/>
        <n v="52"/>
        <n v="17"/>
        <n v="88"/>
        <n v="77"/>
        <n v="58"/>
        <n v="25"/>
        <n v="69"/>
        <n v="46"/>
        <n v="34"/>
        <n v="73"/>
        <n v="22"/>
        <n v="71"/>
        <n v="87"/>
        <n v="38"/>
        <n v="90"/>
        <n v="66"/>
        <n v="30"/>
        <n v="59"/>
        <n v="23"/>
        <n v="13"/>
        <n v="18"/>
        <n v="60"/>
        <n v="51"/>
        <n v="82"/>
        <n v="16"/>
        <n v="72"/>
        <n v="36"/>
        <n v="67"/>
        <n v="39"/>
        <n v="14"/>
        <n v="35"/>
        <n v="12"/>
        <n v="55"/>
        <n v="70"/>
        <n v="78"/>
        <n v="75"/>
        <n v="74"/>
        <n v="11"/>
        <n v="15"/>
        <n v="44"/>
        <n v="83"/>
        <n v="94"/>
        <n v="49"/>
        <n v="63"/>
        <n v="19"/>
        <n v="42"/>
        <n v="80"/>
        <n v="48"/>
        <n v="45"/>
        <n v="96"/>
        <n v="91"/>
        <n v="53"/>
        <n v="62"/>
        <n v="65"/>
        <n v="61"/>
        <n v="92"/>
        <n v="24"/>
        <n v="68"/>
        <n v="21"/>
        <n v="43"/>
        <n v="81"/>
      </sharedItems>
    </cacheField>
    <cacheField name="Day3" numFmtId="0">
      <sharedItems containsSemiMixedTypes="0" containsString="0" containsNumber="1" containsInteger="1" minValue="10" maxValue="99" count="69">
        <n v="98"/>
        <n v="47"/>
        <n v="88"/>
        <n v="13"/>
        <n v="49"/>
        <n v="23"/>
        <n v="38"/>
        <n v="53"/>
        <n v="19"/>
        <n v="40"/>
        <n v="95"/>
        <n v="11"/>
        <n v="66"/>
        <n v="34"/>
        <n v="45"/>
        <n v="96"/>
        <n v="91"/>
        <n v="64"/>
        <n v="97"/>
        <n v="48"/>
        <n v="31"/>
        <n v="18"/>
        <n v="94"/>
        <n v="80"/>
        <n v="92"/>
        <n v="70"/>
        <n v="99"/>
        <n v="17"/>
        <n v="41"/>
        <n v="79"/>
        <n v="25"/>
        <n v="44"/>
        <n v="33"/>
        <n v="74"/>
        <n v="10"/>
        <n v="15"/>
        <n v="12"/>
        <n v="90"/>
        <n v="84"/>
        <n v="72"/>
        <n v="82"/>
        <n v="42"/>
        <n v="56"/>
        <n v="71"/>
        <n v="89"/>
        <n v="46"/>
        <n v="27"/>
        <n v="58"/>
        <n v="87"/>
        <n v="63"/>
        <n v="68"/>
        <n v="62"/>
        <n v="59"/>
        <n v="43"/>
        <n v="65"/>
        <n v="21"/>
        <n v="20"/>
        <n v="50"/>
        <n v="86"/>
        <n v="81"/>
        <n v="16"/>
        <n v="32"/>
        <n v="85"/>
        <n v="35"/>
        <n v="61"/>
        <n v="93"/>
        <n v="26"/>
        <n v="75"/>
        <n v="57"/>
      </sharedItems>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ount="76">
        <n v="41"/>
        <n v="48"/>
        <n v="94"/>
        <n v="29"/>
        <n v="49"/>
        <n v="77"/>
        <n v="79"/>
        <n v="53"/>
        <n v="20"/>
        <n v="37"/>
        <n v="51"/>
        <n v="91"/>
        <n v="60"/>
        <n v="40"/>
        <n v="31"/>
        <n v="45"/>
        <n v="38"/>
        <n v="70"/>
        <n v="18"/>
        <n v="93"/>
        <n v="52"/>
        <n v="92"/>
        <n v="33"/>
        <n v="34"/>
        <n v="97"/>
        <n v="10"/>
        <n v="89"/>
        <n v="67"/>
        <n v="22"/>
        <n v="47"/>
        <n v="61"/>
        <n v="59"/>
        <n v="30"/>
        <n v="58"/>
        <n v="56"/>
        <n v="28"/>
        <n v="13"/>
        <n v="42"/>
        <n v="78"/>
        <n v="21"/>
        <n v="90"/>
        <n v="72"/>
        <n v="57"/>
        <n v="23"/>
        <n v="71"/>
        <n v="35"/>
        <n v="26"/>
        <n v="44"/>
        <n v="50"/>
        <n v="65"/>
        <n v="11"/>
        <n v="17"/>
        <n v="39"/>
        <n v="27"/>
        <n v="83"/>
        <n v="46"/>
        <n v="63"/>
        <n v="81"/>
        <n v="54"/>
        <n v="73"/>
        <n v="99"/>
        <n v="95"/>
        <n v="19"/>
        <n v="16"/>
        <n v="25"/>
        <n v="76"/>
        <n v="55"/>
        <n v="86"/>
        <n v="88"/>
        <n v="96"/>
        <n v="15"/>
        <n v="98"/>
        <n v="75"/>
        <n v="12"/>
        <n v="43"/>
        <n v="64"/>
      </sharedItems>
    </cacheField>
    <cacheField name="Total Sales" numFmtId="0">
      <sharedItems containsSemiMixedTypes="0" containsString="0" containsNumber="1" containsInteger="1" minValue="143" maxValue="389" count="102">
        <n v="339"/>
        <n v="239"/>
        <n v="379"/>
        <n v="288"/>
        <n v="213"/>
        <n v="265"/>
        <n v="369"/>
        <n v="285"/>
        <n v="189"/>
        <n v="219"/>
        <n v="376"/>
        <n v="332"/>
        <n v="199"/>
        <n v="306"/>
        <n v="291"/>
        <n v="252"/>
        <n v="253"/>
        <n v="367"/>
        <n v="301"/>
        <n v="202"/>
        <n v="183"/>
        <n v="344"/>
        <n v="276"/>
        <n v="357"/>
        <n v="324"/>
        <n v="341"/>
        <n v="353"/>
        <n v="176"/>
        <n v="230"/>
        <n v="223"/>
        <n v="323"/>
        <n v="214"/>
        <n v="335"/>
        <n v="264"/>
        <n v="274"/>
        <n v="232"/>
        <n v="207"/>
        <n v="371"/>
        <n v="206"/>
        <n v="350"/>
        <n v="192"/>
        <n v="233"/>
        <n v="292"/>
        <n v="340"/>
        <n v="270"/>
        <n v="249"/>
        <n v="322"/>
        <n v="260"/>
        <n v="284"/>
        <n v="300"/>
        <n v="217"/>
        <n v="246"/>
        <n v="267"/>
        <n v="385"/>
        <n v="328"/>
        <n v="166"/>
        <n v="342"/>
        <n v="293"/>
        <n v="171"/>
        <n v="229"/>
        <n v="156"/>
        <n v="208"/>
        <n v="143"/>
        <n v="254"/>
        <n v="224"/>
        <n v="287"/>
        <n v="286"/>
        <n v="245"/>
        <n v="281"/>
        <n v="317"/>
        <n v="351"/>
        <n v="209"/>
        <n v="290"/>
        <n v="384"/>
        <n v="349"/>
        <n v="215"/>
        <n v="318"/>
        <n v="205"/>
        <n v="234"/>
        <n v="303"/>
        <n v="268"/>
        <n v="220"/>
        <n v="228"/>
        <n v="374"/>
        <n v="211"/>
        <n v="236"/>
        <n v="355"/>
        <n v="320"/>
        <n v="389"/>
        <n v="311"/>
        <n v="243"/>
        <n v="283"/>
        <n v="280"/>
        <n v="258"/>
        <n v="316"/>
        <n v="327"/>
        <n v="302"/>
        <n v="273"/>
        <n v="307"/>
        <n v="346"/>
        <n v="271"/>
        <n v="382"/>
      </sharedItems>
    </cacheField>
    <cacheField name="Target" numFmtId="0">
      <sharedItems containsSemiMixedTypes="0" containsString="0" containsNumber="1" containsInteger="1" minValue="500" maxValue="500" count="1">
        <n v="500"/>
      </sharedItems>
    </cacheField>
    <cacheField name="Target Hit %" numFmtId="10">
      <sharedItems containsSemiMixedTypes="0" containsString="0" containsNumber="1" minValue="0.28599999999999998" maxValue="0.77800000000000002" count="102">
        <n v="0.67800000000000005"/>
        <n v="0.47799999999999998"/>
        <n v="0.75800000000000001"/>
        <n v="0.57599999999999996"/>
        <n v="0.42599999999999999"/>
        <n v="0.53"/>
        <n v="0.73799999999999999"/>
        <n v="0.56999999999999995"/>
        <n v="0.378"/>
        <n v="0.438"/>
        <n v="0.752"/>
        <n v="0.66400000000000003"/>
        <n v="0.39800000000000002"/>
        <n v="0.61199999999999999"/>
        <n v="0.58199999999999996"/>
        <n v="0.504"/>
        <n v="0.50600000000000001"/>
        <n v="0.73399999999999999"/>
        <n v="0.60199999999999998"/>
        <n v="0.40400000000000003"/>
        <n v="0.36599999999999999"/>
        <n v="0.68799999999999994"/>
        <n v="0.55200000000000005"/>
        <n v="0.71399999999999997"/>
        <n v="0.64800000000000002"/>
        <n v="0.68200000000000005"/>
        <n v="0.70599999999999996"/>
        <n v="0.35199999999999998"/>
        <n v="0.46"/>
        <n v="0.44600000000000001"/>
        <n v="0.64600000000000002"/>
        <n v="0.42799999999999999"/>
        <n v="0.67"/>
        <n v="0.52800000000000002"/>
        <n v="0.54800000000000004"/>
        <n v="0.46400000000000002"/>
        <n v="0.41399999999999998"/>
        <n v="0.74199999999999999"/>
        <n v="0.41199999999999998"/>
        <n v="0.7"/>
        <n v="0.38400000000000001"/>
        <n v="0.46600000000000003"/>
        <n v="0.58399999999999996"/>
        <n v="0.68"/>
        <n v="0.54"/>
        <n v="0.498"/>
        <n v="0.64400000000000002"/>
        <n v="0.52"/>
        <n v="0.56799999999999995"/>
        <n v="0.6"/>
        <n v="0.434"/>
        <n v="0.49199999999999999"/>
        <n v="0.53400000000000003"/>
        <n v="0.77"/>
        <n v="0.65600000000000003"/>
        <n v="0.33200000000000002"/>
        <n v="0.68400000000000005"/>
        <n v="0.58599999999999997"/>
        <n v="0.34200000000000003"/>
        <n v="0.45800000000000002"/>
        <n v="0.312"/>
        <n v="0.41599999999999998"/>
        <n v="0.28599999999999998"/>
        <n v="0.50800000000000001"/>
        <n v="0.44800000000000001"/>
        <n v="0.57399999999999995"/>
        <n v="0.57199999999999995"/>
        <n v="0.49"/>
        <n v="0.56200000000000006"/>
        <n v="0.63400000000000001"/>
        <n v="0.70199999999999996"/>
        <n v="0.41799999999999998"/>
        <n v="0.57999999999999996"/>
        <n v="0.76800000000000002"/>
        <n v="0.69799999999999995"/>
        <n v="0.43"/>
        <n v="0.63600000000000001"/>
        <n v="0.41"/>
        <n v="0.46800000000000003"/>
        <n v="0.60599999999999998"/>
        <n v="0.53600000000000003"/>
        <n v="0.44"/>
        <n v="0.45600000000000002"/>
        <n v="0.748"/>
        <n v="0.42199999999999999"/>
        <n v="0.47199999999999998"/>
        <n v="0.71"/>
        <n v="0.64"/>
        <n v="0.77800000000000002"/>
        <n v="0.622"/>
        <n v="0.48599999999999999"/>
        <n v="0.56599999999999995"/>
        <n v="0.56000000000000005"/>
        <n v="0.51600000000000001"/>
        <n v="0.63200000000000001"/>
        <n v="0.65400000000000003"/>
        <n v="0.60399999999999998"/>
        <n v="0.54600000000000004"/>
        <n v="0.61399999999999999"/>
        <n v="0.69199999999999995"/>
        <n v="0.54200000000000004"/>
        <n v="0.76400000000000001"/>
      </sharedItems>
    </cacheField>
    <cacheField name="Away From Target %" numFmtId="10">
      <sharedItems containsSemiMixedTypes="0" containsString="0" containsNumber="1" minValue="0.22199999999999998" maxValue="0.71399999999999997" count="102">
        <n v="0.32199999999999995"/>
        <n v="0.52200000000000002"/>
        <n v="0.24199999999999999"/>
        <n v="0.42400000000000004"/>
        <n v="0.57400000000000007"/>
        <n v="0.47"/>
        <n v="0.26200000000000001"/>
        <n v="0.43000000000000005"/>
        <n v="0.622"/>
        <n v="0.56200000000000006"/>
        <n v="0.248"/>
        <n v="0.33599999999999997"/>
        <n v="0.60199999999999998"/>
        <n v="0.38800000000000001"/>
        <n v="0.41800000000000004"/>
        <n v="0.496"/>
        <n v="0.49399999999999999"/>
        <n v="0.26600000000000001"/>
        <n v="0.39800000000000002"/>
        <n v="0.59599999999999997"/>
        <n v="0.63400000000000001"/>
        <n v="0.31200000000000006"/>
        <n v="0.44799999999999995"/>
        <n v="0.28600000000000003"/>
        <n v="0.35199999999999998"/>
        <n v="0.31799999999999995"/>
        <n v="0.29400000000000004"/>
        <n v="0.64800000000000002"/>
        <n v="0.54"/>
        <n v="0.55400000000000005"/>
        <n v="0.35399999999999998"/>
        <n v="0.57200000000000006"/>
        <n v="0.32999999999999996"/>
        <n v="0.47199999999999998"/>
        <n v="0.45199999999999996"/>
        <n v="0.53600000000000003"/>
        <n v="0.58600000000000008"/>
        <n v="0.25800000000000001"/>
        <n v="0.58800000000000008"/>
        <n v="0.30000000000000004"/>
        <n v="0.61599999999999999"/>
        <n v="0.53400000000000003"/>
        <n v="0.41600000000000004"/>
        <n v="0.31999999999999995"/>
        <n v="0.45999999999999996"/>
        <n v="0.502"/>
        <n v="0.35599999999999998"/>
        <n v="0.48"/>
        <n v="0.43200000000000005"/>
        <n v="0.4"/>
        <n v="0.56600000000000006"/>
        <n v="0.50800000000000001"/>
        <n v="0.46599999999999997"/>
        <n v="0.22999999999999998"/>
        <n v="0.34399999999999997"/>
        <n v="0.66799999999999993"/>
        <n v="0.31599999999999995"/>
        <n v="0.41400000000000003"/>
        <n v="0.65799999999999992"/>
        <n v="0.54200000000000004"/>
        <n v="0.68799999999999994"/>
        <n v="0.58400000000000007"/>
        <n v="0.71399999999999997"/>
        <n v="0.49199999999999999"/>
        <n v="0.55200000000000005"/>
        <n v="0.42600000000000005"/>
        <n v="0.42800000000000005"/>
        <n v="0.51"/>
        <n v="0.43799999999999994"/>
        <n v="0.36599999999999999"/>
        <n v="0.29800000000000004"/>
        <n v="0.58200000000000007"/>
        <n v="0.42000000000000004"/>
        <n v="0.23199999999999998"/>
        <n v="0.30200000000000005"/>
        <n v="0.57000000000000006"/>
        <n v="0.36399999999999999"/>
        <n v="0.59000000000000008"/>
        <n v="0.53200000000000003"/>
        <n v="0.39400000000000002"/>
        <n v="0.46399999999999997"/>
        <n v="0.56000000000000005"/>
        <n v="0.54400000000000004"/>
        <n v="0.252"/>
        <n v="0.57800000000000007"/>
        <n v="0.52800000000000002"/>
        <n v="0.29000000000000004"/>
        <n v="0.36"/>
        <n v="0.22199999999999998"/>
        <n v="0.378"/>
        <n v="0.51400000000000001"/>
        <n v="0.43400000000000005"/>
        <n v="0.43999999999999995"/>
        <n v="0.48399999999999999"/>
        <n v="0.36799999999999999"/>
        <n v="0.34599999999999997"/>
        <n v="0.39600000000000002"/>
        <n v="0.45399999999999996"/>
        <n v="0.38600000000000001"/>
        <n v="0.30800000000000005"/>
        <n v="0.45799999999999996"/>
        <n v="0.23599999999999999"/>
      </sharedItems>
    </cacheField>
  </cacheFields>
  <extLst>
    <ext xmlns:x14="http://schemas.microsoft.com/office/spreadsheetml/2009/9/main" uri="{725AE2AE-9491-48be-B2B4-4EB974FC3084}">
      <x14:pivotCacheDefinition pivotCacheId="134540182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x v="0"/>
    <x v="0"/>
    <x v="0"/>
    <x v="0"/>
    <x v="0"/>
    <x v="0"/>
    <n v="67"/>
    <x v="0"/>
    <x v="0"/>
    <x v="0"/>
    <x v="0"/>
    <x v="0"/>
  </r>
  <r>
    <x v="1"/>
    <x v="1"/>
    <x v="1"/>
    <x v="1"/>
    <x v="1"/>
    <x v="1"/>
    <n v="15"/>
    <x v="1"/>
    <x v="1"/>
    <x v="0"/>
    <x v="1"/>
    <x v="1"/>
  </r>
  <r>
    <x v="2"/>
    <x v="2"/>
    <x v="2"/>
    <x v="2"/>
    <x v="2"/>
    <x v="2"/>
    <n v="73"/>
    <x v="2"/>
    <x v="2"/>
    <x v="0"/>
    <x v="2"/>
    <x v="2"/>
  </r>
  <r>
    <x v="3"/>
    <x v="3"/>
    <x v="3"/>
    <x v="3"/>
    <x v="3"/>
    <x v="3"/>
    <n v="95"/>
    <x v="3"/>
    <x v="3"/>
    <x v="0"/>
    <x v="3"/>
    <x v="3"/>
  </r>
  <r>
    <x v="4"/>
    <x v="4"/>
    <x v="4"/>
    <x v="4"/>
    <x v="4"/>
    <x v="4"/>
    <n v="26"/>
    <x v="4"/>
    <x v="4"/>
    <x v="0"/>
    <x v="4"/>
    <x v="4"/>
  </r>
  <r>
    <x v="5"/>
    <x v="5"/>
    <x v="5"/>
    <x v="5"/>
    <x v="5"/>
    <x v="5"/>
    <n v="48"/>
    <x v="5"/>
    <x v="5"/>
    <x v="0"/>
    <x v="5"/>
    <x v="5"/>
  </r>
  <r>
    <x v="6"/>
    <x v="6"/>
    <x v="6"/>
    <x v="6"/>
    <x v="6"/>
    <x v="0"/>
    <n v="80"/>
    <x v="6"/>
    <x v="6"/>
    <x v="0"/>
    <x v="6"/>
    <x v="6"/>
  </r>
  <r>
    <x v="7"/>
    <x v="7"/>
    <x v="7"/>
    <x v="7"/>
    <x v="7"/>
    <x v="6"/>
    <n v="24"/>
    <x v="7"/>
    <x v="7"/>
    <x v="0"/>
    <x v="7"/>
    <x v="7"/>
  </r>
  <r>
    <x v="8"/>
    <x v="8"/>
    <x v="0"/>
    <x v="8"/>
    <x v="8"/>
    <x v="7"/>
    <n v="36"/>
    <x v="8"/>
    <x v="8"/>
    <x v="0"/>
    <x v="8"/>
    <x v="8"/>
  </r>
  <r>
    <x v="9"/>
    <x v="9"/>
    <x v="1"/>
    <x v="3"/>
    <x v="9"/>
    <x v="8"/>
    <n v="53"/>
    <x v="9"/>
    <x v="4"/>
    <x v="0"/>
    <x v="4"/>
    <x v="4"/>
  </r>
  <r>
    <x v="10"/>
    <x v="10"/>
    <x v="2"/>
    <x v="9"/>
    <x v="10"/>
    <x v="9"/>
    <n v="48"/>
    <x v="10"/>
    <x v="9"/>
    <x v="0"/>
    <x v="9"/>
    <x v="9"/>
  </r>
  <r>
    <x v="11"/>
    <x v="11"/>
    <x v="3"/>
    <x v="10"/>
    <x v="3"/>
    <x v="10"/>
    <n v="12"/>
    <x v="11"/>
    <x v="10"/>
    <x v="0"/>
    <x v="10"/>
    <x v="10"/>
  </r>
  <r>
    <x v="12"/>
    <x v="12"/>
    <x v="4"/>
    <x v="11"/>
    <x v="11"/>
    <x v="11"/>
    <n v="78"/>
    <x v="12"/>
    <x v="11"/>
    <x v="0"/>
    <x v="11"/>
    <x v="11"/>
  </r>
  <r>
    <x v="13"/>
    <x v="13"/>
    <x v="5"/>
    <x v="12"/>
    <x v="12"/>
    <x v="12"/>
    <n v="22"/>
    <x v="13"/>
    <x v="3"/>
    <x v="0"/>
    <x v="3"/>
    <x v="3"/>
  </r>
  <r>
    <x v="14"/>
    <x v="14"/>
    <x v="6"/>
    <x v="13"/>
    <x v="13"/>
    <x v="13"/>
    <n v="84"/>
    <x v="14"/>
    <x v="7"/>
    <x v="0"/>
    <x v="7"/>
    <x v="7"/>
  </r>
  <r>
    <x v="15"/>
    <x v="15"/>
    <x v="7"/>
    <x v="14"/>
    <x v="14"/>
    <x v="14"/>
    <n v="70"/>
    <x v="15"/>
    <x v="12"/>
    <x v="0"/>
    <x v="12"/>
    <x v="12"/>
  </r>
  <r>
    <x v="16"/>
    <x v="16"/>
    <x v="0"/>
    <x v="15"/>
    <x v="15"/>
    <x v="15"/>
    <n v="66"/>
    <x v="16"/>
    <x v="13"/>
    <x v="0"/>
    <x v="13"/>
    <x v="13"/>
  </r>
  <r>
    <x v="17"/>
    <x v="17"/>
    <x v="1"/>
    <x v="16"/>
    <x v="16"/>
    <x v="16"/>
    <n v="98"/>
    <x v="15"/>
    <x v="14"/>
    <x v="0"/>
    <x v="14"/>
    <x v="14"/>
  </r>
  <r>
    <x v="18"/>
    <x v="18"/>
    <x v="2"/>
    <x v="17"/>
    <x v="17"/>
    <x v="17"/>
    <n v="65"/>
    <x v="17"/>
    <x v="15"/>
    <x v="0"/>
    <x v="15"/>
    <x v="15"/>
  </r>
  <r>
    <x v="19"/>
    <x v="19"/>
    <x v="3"/>
    <x v="18"/>
    <x v="0"/>
    <x v="3"/>
    <n v="45"/>
    <x v="18"/>
    <x v="16"/>
    <x v="0"/>
    <x v="16"/>
    <x v="16"/>
  </r>
  <r>
    <x v="20"/>
    <x v="20"/>
    <x v="4"/>
    <x v="19"/>
    <x v="18"/>
    <x v="18"/>
    <n v="76"/>
    <x v="7"/>
    <x v="17"/>
    <x v="0"/>
    <x v="17"/>
    <x v="17"/>
  </r>
  <r>
    <x v="21"/>
    <x v="21"/>
    <x v="5"/>
    <x v="20"/>
    <x v="10"/>
    <x v="19"/>
    <n v="44"/>
    <x v="19"/>
    <x v="18"/>
    <x v="0"/>
    <x v="18"/>
    <x v="18"/>
  </r>
  <r>
    <x v="22"/>
    <x v="22"/>
    <x v="6"/>
    <x v="21"/>
    <x v="6"/>
    <x v="20"/>
    <n v="34"/>
    <x v="20"/>
    <x v="19"/>
    <x v="0"/>
    <x v="19"/>
    <x v="19"/>
  </r>
  <r>
    <x v="23"/>
    <x v="23"/>
    <x v="7"/>
    <x v="22"/>
    <x v="19"/>
    <x v="21"/>
    <n v="11"/>
    <x v="21"/>
    <x v="20"/>
    <x v="0"/>
    <x v="20"/>
    <x v="20"/>
  </r>
  <r>
    <x v="24"/>
    <x v="24"/>
    <x v="0"/>
    <x v="23"/>
    <x v="3"/>
    <x v="22"/>
    <n v="75"/>
    <x v="3"/>
    <x v="21"/>
    <x v="0"/>
    <x v="21"/>
    <x v="21"/>
  </r>
  <r>
    <x v="25"/>
    <x v="25"/>
    <x v="1"/>
    <x v="24"/>
    <x v="20"/>
    <x v="23"/>
    <n v="76"/>
    <x v="22"/>
    <x v="22"/>
    <x v="0"/>
    <x v="22"/>
    <x v="22"/>
  </r>
  <r>
    <x v="26"/>
    <x v="26"/>
    <x v="2"/>
    <x v="25"/>
    <x v="21"/>
    <x v="24"/>
    <n v="72"/>
    <x v="23"/>
    <x v="23"/>
    <x v="0"/>
    <x v="23"/>
    <x v="23"/>
  </r>
  <r>
    <x v="27"/>
    <x v="27"/>
    <x v="3"/>
    <x v="26"/>
    <x v="22"/>
    <x v="25"/>
    <n v="89"/>
    <x v="24"/>
    <x v="24"/>
    <x v="0"/>
    <x v="24"/>
    <x v="24"/>
  </r>
  <r>
    <x v="28"/>
    <x v="28"/>
    <x v="4"/>
    <x v="27"/>
    <x v="23"/>
    <x v="16"/>
    <n v="85"/>
    <x v="25"/>
    <x v="25"/>
    <x v="0"/>
    <x v="25"/>
    <x v="25"/>
  </r>
  <r>
    <x v="29"/>
    <x v="29"/>
    <x v="5"/>
    <x v="12"/>
    <x v="16"/>
    <x v="26"/>
    <n v="36"/>
    <x v="26"/>
    <x v="26"/>
    <x v="0"/>
    <x v="26"/>
    <x v="26"/>
  </r>
  <r>
    <x v="30"/>
    <x v="30"/>
    <x v="6"/>
    <x v="28"/>
    <x v="24"/>
    <x v="9"/>
    <n v="22"/>
    <x v="16"/>
    <x v="27"/>
    <x v="0"/>
    <x v="27"/>
    <x v="27"/>
  </r>
  <r>
    <x v="31"/>
    <x v="31"/>
    <x v="7"/>
    <x v="15"/>
    <x v="25"/>
    <x v="8"/>
    <n v="77"/>
    <x v="27"/>
    <x v="28"/>
    <x v="0"/>
    <x v="28"/>
    <x v="28"/>
  </r>
  <r>
    <x v="32"/>
    <x v="32"/>
    <x v="0"/>
    <x v="12"/>
    <x v="16"/>
    <x v="27"/>
    <n v="94"/>
    <x v="21"/>
    <x v="11"/>
    <x v="0"/>
    <x v="11"/>
    <x v="11"/>
  </r>
  <r>
    <x v="33"/>
    <x v="33"/>
    <x v="1"/>
    <x v="6"/>
    <x v="26"/>
    <x v="28"/>
    <n v="17"/>
    <x v="28"/>
    <x v="29"/>
    <x v="0"/>
    <x v="29"/>
    <x v="29"/>
  </r>
  <r>
    <x v="34"/>
    <x v="34"/>
    <x v="2"/>
    <x v="29"/>
    <x v="4"/>
    <x v="29"/>
    <n v="61"/>
    <x v="29"/>
    <x v="30"/>
    <x v="0"/>
    <x v="30"/>
    <x v="30"/>
  </r>
  <r>
    <x v="35"/>
    <x v="35"/>
    <x v="3"/>
    <x v="23"/>
    <x v="27"/>
    <x v="8"/>
    <n v="64"/>
    <x v="30"/>
    <x v="31"/>
    <x v="0"/>
    <x v="31"/>
    <x v="31"/>
  </r>
  <r>
    <x v="36"/>
    <x v="36"/>
    <x v="4"/>
    <x v="30"/>
    <x v="28"/>
    <x v="29"/>
    <n v="85"/>
    <x v="27"/>
    <x v="32"/>
    <x v="0"/>
    <x v="32"/>
    <x v="32"/>
  </r>
  <r>
    <x v="37"/>
    <x v="37"/>
    <x v="5"/>
    <x v="31"/>
    <x v="26"/>
    <x v="30"/>
    <n v="55"/>
    <x v="31"/>
    <x v="33"/>
    <x v="0"/>
    <x v="33"/>
    <x v="33"/>
  </r>
  <r>
    <x v="38"/>
    <x v="38"/>
    <x v="6"/>
    <x v="32"/>
    <x v="29"/>
    <x v="2"/>
    <n v="46"/>
    <x v="20"/>
    <x v="34"/>
    <x v="0"/>
    <x v="34"/>
    <x v="34"/>
  </r>
  <r>
    <x v="39"/>
    <x v="39"/>
    <x v="7"/>
    <x v="15"/>
    <x v="30"/>
    <x v="31"/>
    <n v="61"/>
    <x v="32"/>
    <x v="35"/>
    <x v="0"/>
    <x v="35"/>
    <x v="35"/>
  </r>
  <r>
    <x v="40"/>
    <x v="40"/>
    <x v="0"/>
    <x v="24"/>
    <x v="16"/>
    <x v="32"/>
    <n v="54"/>
    <x v="33"/>
    <x v="36"/>
    <x v="0"/>
    <x v="36"/>
    <x v="36"/>
  </r>
  <r>
    <x v="41"/>
    <x v="41"/>
    <x v="1"/>
    <x v="23"/>
    <x v="7"/>
    <x v="33"/>
    <n v="97"/>
    <x v="34"/>
    <x v="37"/>
    <x v="0"/>
    <x v="37"/>
    <x v="37"/>
  </r>
  <r>
    <x v="42"/>
    <x v="42"/>
    <x v="2"/>
    <x v="5"/>
    <x v="19"/>
    <x v="34"/>
    <n v="60"/>
    <x v="35"/>
    <x v="38"/>
    <x v="0"/>
    <x v="38"/>
    <x v="38"/>
  </r>
  <r>
    <x v="43"/>
    <x v="43"/>
    <x v="3"/>
    <x v="33"/>
    <x v="10"/>
    <x v="14"/>
    <n v="64"/>
    <x v="36"/>
    <x v="4"/>
    <x v="0"/>
    <x v="4"/>
    <x v="4"/>
  </r>
  <r>
    <x v="44"/>
    <x v="44"/>
    <x v="4"/>
    <x v="34"/>
    <x v="31"/>
    <x v="35"/>
    <n v="97"/>
    <x v="37"/>
    <x v="7"/>
    <x v="0"/>
    <x v="7"/>
    <x v="7"/>
  </r>
  <r>
    <x v="45"/>
    <x v="45"/>
    <x v="5"/>
    <x v="0"/>
    <x v="32"/>
    <x v="10"/>
    <n v="46"/>
    <x v="38"/>
    <x v="39"/>
    <x v="0"/>
    <x v="39"/>
    <x v="39"/>
  </r>
  <r>
    <x v="46"/>
    <x v="46"/>
    <x v="6"/>
    <x v="35"/>
    <x v="11"/>
    <x v="36"/>
    <n v="54"/>
    <x v="39"/>
    <x v="40"/>
    <x v="0"/>
    <x v="40"/>
    <x v="40"/>
  </r>
  <r>
    <x v="47"/>
    <x v="47"/>
    <x v="7"/>
    <x v="33"/>
    <x v="33"/>
    <x v="33"/>
    <n v="36"/>
    <x v="22"/>
    <x v="41"/>
    <x v="0"/>
    <x v="41"/>
    <x v="41"/>
  </r>
  <r>
    <x v="48"/>
    <x v="48"/>
    <x v="0"/>
    <x v="7"/>
    <x v="34"/>
    <x v="6"/>
    <n v="19"/>
    <x v="40"/>
    <x v="42"/>
    <x v="0"/>
    <x v="42"/>
    <x v="42"/>
  </r>
  <r>
    <x v="49"/>
    <x v="49"/>
    <x v="1"/>
    <x v="35"/>
    <x v="0"/>
    <x v="37"/>
    <n v="77"/>
    <x v="41"/>
    <x v="43"/>
    <x v="0"/>
    <x v="43"/>
    <x v="43"/>
  </r>
  <r>
    <x v="50"/>
    <x v="50"/>
    <x v="2"/>
    <x v="3"/>
    <x v="35"/>
    <x v="38"/>
    <n v="41"/>
    <x v="42"/>
    <x v="44"/>
    <x v="0"/>
    <x v="44"/>
    <x v="44"/>
  </r>
  <r>
    <x v="51"/>
    <x v="51"/>
    <x v="3"/>
    <x v="27"/>
    <x v="36"/>
    <x v="39"/>
    <n v="22"/>
    <x v="43"/>
    <x v="45"/>
    <x v="0"/>
    <x v="45"/>
    <x v="45"/>
  </r>
  <r>
    <x v="52"/>
    <x v="52"/>
    <x v="4"/>
    <x v="36"/>
    <x v="37"/>
    <x v="30"/>
    <n v="99"/>
    <x v="44"/>
    <x v="46"/>
    <x v="0"/>
    <x v="46"/>
    <x v="46"/>
  </r>
  <r>
    <x v="53"/>
    <x v="53"/>
    <x v="5"/>
    <x v="37"/>
    <x v="38"/>
    <x v="35"/>
    <n v="58"/>
    <x v="6"/>
    <x v="8"/>
    <x v="0"/>
    <x v="8"/>
    <x v="8"/>
  </r>
  <r>
    <x v="54"/>
    <x v="54"/>
    <x v="6"/>
    <x v="38"/>
    <x v="36"/>
    <x v="19"/>
    <n v="95"/>
    <x v="45"/>
    <x v="47"/>
    <x v="0"/>
    <x v="47"/>
    <x v="47"/>
  </r>
  <r>
    <x v="55"/>
    <x v="55"/>
    <x v="7"/>
    <x v="39"/>
    <x v="39"/>
    <x v="40"/>
    <n v="31"/>
    <x v="46"/>
    <x v="40"/>
    <x v="0"/>
    <x v="40"/>
    <x v="40"/>
  </r>
  <r>
    <x v="56"/>
    <x v="56"/>
    <x v="0"/>
    <x v="21"/>
    <x v="30"/>
    <x v="41"/>
    <n v="81"/>
    <x v="47"/>
    <x v="48"/>
    <x v="0"/>
    <x v="48"/>
    <x v="48"/>
  </r>
  <r>
    <x v="57"/>
    <x v="57"/>
    <x v="1"/>
    <x v="40"/>
    <x v="7"/>
    <x v="12"/>
    <n v="45"/>
    <x v="48"/>
    <x v="42"/>
    <x v="0"/>
    <x v="42"/>
    <x v="42"/>
  </r>
  <r>
    <x v="58"/>
    <x v="58"/>
    <x v="2"/>
    <x v="12"/>
    <x v="40"/>
    <x v="25"/>
    <n v="83"/>
    <x v="20"/>
    <x v="49"/>
    <x v="0"/>
    <x v="49"/>
    <x v="49"/>
  </r>
  <r>
    <x v="59"/>
    <x v="59"/>
    <x v="3"/>
    <x v="41"/>
    <x v="41"/>
    <x v="42"/>
    <n v="16"/>
    <x v="30"/>
    <x v="33"/>
    <x v="0"/>
    <x v="33"/>
    <x v="33"/>
  </r>
  <r>
    <x v="60"/>
    <x v="60"/>
    <x v="4"/>
    <x v="22"/>
    <x v="42"/>
    <x v="8"/>
    <n v="36"/>
    <x v="20"/>
    <x v="50"/>
    <x v="0"/>
    <x v="50"/>
    <x v="50"/>
  </r>
  <r>
    <x v="61"/>
    <x v="61"/>
    <x v="5"/>
    <x v="1"/>
    <x v="30"/>
    <x v="43"/>
    <n v="34"/>
    <x v="9"/>
    <x v="51"/>
    <x v="0"/>
    <x v="51"/>
    <x v="51"/>
  </r>
  <r>
    <x v="62"/>
    <x v="62"/>
    <x v="6"/>
    <x v="42"/>
    <x v="43"/>
    <x v="35"/>
    <n v="98"/>
    <x v="22"/>
    <x v="52"/>
    <x v="0"/>
    <x v="52"/>
    <x v="52"/>
  </r>
  <r>
    <x v="63"/>
    <x v="63"/>
    <x v="7"/>
    <x v="43"/>
    <x v="44"/>
    <x v="44"/>
    <n v="97"/>
    <x v="4"/>
    <x v="53"/>
    <x v="0"/>
    <x v="53"/>
    <x v="53"/>
  </r>
  <r>
    <x v="64"/>
    <x v="64"/>
    <x v="0"/>
    <x v="33"/>
    <x v="31"/>
    <x v="18"/>
    <n v="73"/>
    <x v="22"/>
    <x v="54"/>
    <x v="0"/>
    <x v="54"/>
    <x v="54"/>
  </r>
  <r>
    <x v="65"/>
    <x v="65"/>
    <x v="1"/>
    <x v="1"/>
    <x v="35"/>
    <x v="11"/>
    <n v="45"/>
    <x v="32"/>
    <x v="55"/>
    <x v="0"/>
    <x v="55"/>
    <x v="55"/>
  </r>
  <r>
    <x v="66"/>
    <x v="66"/>
    <x v="2"/>
    <x v="44"/>
    <x v="2"/>
    <x v="45"/>
    <n v="65"/>
    <x v="49"/>
    <x v="56"/>
    <x v="0"/>
    <x v="56"/>
    <x v="56"/>
  </r>
  <r>
    <x v="67"/>
    <x v="67"/>
    <x v="3"/>
    <x v="32"/>
    <x v="9"/>
    <x v="23"/>
    <n v="43"/>
    <x v="1"/>
    <x v="57"/>
    <x v="0"/>
    <x v="57"/>
    <x v="57"/>
  </r>
  <r>
    <x v="68"/>
    <x v="68"/>
    <x v="4"/>
    <x v="2"/>
    <x v="8"/>
    <x v="46"/>
    <n v="14"/>
    <x v="31"/>
    <x v="58"/>
    <x v="0"/>
    <x v="58"/>
    <x v="58"/>
  </r>
  <r>
    <x v="69"/>
    <x v="69"/>
    <x v="5"/>
    <x v="45"/>
    <x v="8"/>
    <x v="47"/>
    <n v="83"/>
    <x v="50"/>
    <x v="59"/>
    <x v="0"/>
    <x v="59"/>
    <x v="59"/>
  </r>
  <r>
    <x v="70"/>
    <x v="70"/>
    <x v="6"/>
    <x v="19"/>
    <x v="35"/>
    <x v="35"/>
    <n v="20"/>
    <x v="51"/>
    <x v="60"/>
    <x v="0"/>
    <x v="60"/>
    <x v="60"/>
  </r>
  <r>
    <x v="71"/>
    <x v="71"/>
    <x v="7"/>
    <x v="46"/>
    <x v="45"/>
    <x v="21"/>
    <n v="33"/>
    <x v="10"/>
    <x v="61"/>
    <x v="0"/>
    <x v="61"/>
    <x v="61"/>
  </r>
  <r>
    <x v="72"/>
    <x v="72"/>
    <x v="0"/>
    <x v="47"/>
    <x v="46"/>
    <x v="45"/>
    <n v="35"/>
    <x v="25"/>
    <x v="62"/>
    <x v="0"/>
    <x v="62"/>
    <x v="62"/>
  </r>
  <r>
    <x v="73"/>
    <x v="73"/>
    <x v="1"/>
    <x v="47"/>
    <x v="10"/>
    <x v="40"/>
    <n v="75"/>
    <x v="52"/>
    <x v="63"/>
    <x v="0"/>
    <x v="63"/>
    <x v="63"/>
  </r>
  <r>
    <x v="74"/>
    <x v="74"/>
    <x v="2"/>
    <x v="48"/>
    <x v="7"/>
    <x v="14"/>
    <n v="29"/>
    <x v="0"/>
    <x v="64"/>
    <x v="0"/>
    <x v="64"/>
    <x v="64"/>
  </r>
  <r>
    <x v="75"/>
    <x v="75"/>
    <x v="3"/>
    <x v="17"/>
    <x v="34"/>
    <x v="48"/>
    <n v="82"/>
    <x v="53"/>
    <x v="65"/>
    <x v="0"/>
    <x v="65"/>
    <x v="65"/>
  </r>
  <r>
    <x v="76"/>
    <x v="76"/>
    <x v="4"/>
    <x v="49"/>
    <x v="47"/>
    <x v="39"/>
    <n v="67"/>
    <x v="23"/>
    <x v="66"/>
    <x v="0"/>
    <x v="66"/>
    <x v="66"/>
  </r>
  <r>
    <x v="77"/>
    <x v="77"/>
    <x v="5"/>
    <x v="50"/>
    <x v="48"/>
    <x v="45"/>
    <n v="13"/>
    <x v="21"/>
    <x v="67"/>
    <x v="0"/>
    <x v="67"/>
    <x v="67"/>
  </r>
  <r>
    <x v="78"/>
    <x v="78"/>
    <x v="6"/>
    <x v="22"/>
    <x v="32"/>
    <x v="39"/>
    <n v="42"/>
    <x v="15"/>
    <x v="68"/>
    <x v="0"/>
    <x v="68"/>
    <x v="68"/>
  </r>
  <r>
    <x v="79"/>
    <x v="79"/>
    <x v="7"/>
    <x v="37"/>
    <x v="49"/>
    <x v="49"/>
    <n v="65"/>
    <x v="54"/>
    <x v="69"/>
    <x v="0"/>
    <x v="69"/>
    <x v="69"/>
  </r>
  <r>
    <x v="80"/>
    <x v="80"/>
    <x v="0"/>
    <x v="51"/>
    <x v="50"/>
    <x v="14"/>
    <n v="95"/>
    <x v="55"/>
    <x v="70"/>
    <x v="0"/>
    <x v="70"/>
    <x v="70"/>
  </r>
  <r>
    <x v="81"/>
    <x v="81"/>
    <x v="1"/>
    <x v="52"/>
    <x v="51"/>
    <x v="50"/>
    <n v="23"/>
    <x v="39"/>
    <x v="71"/>
    <x v="0"/>
    <x v="71"/>
    <x v="71"/>
  </r>
  <r>
    <x v="82"/>
    <x v="82"/>
    <x v="2"/>
    <x v="53"/>
    <x v="49"/>
    <x v="17"/>
    <n v="53"/>
    <x v="36"/>
    <x v="72"/>
    <x v="0"/>
    <x v="72"/>
    <x v="72"/>
  </r>
  <r>
    <x v="83"/>
    <x v="83"/>
    <x v="3"/>
    <x v="54"/>
    <x v="52"/>
    <x v="2"/>
    <n v="89"/>
    <x v="56"/>
    <x v="73"/>
    <x v="0"/>
    <x v="73"/>
    <x v="73"/>
  </r>
  <r>
    <x v="84"/>
    <x v="84"/>
    <x v="4"/>
    <x v="55"/>
    <x v="21"/>
    <x v="51"/>
    <n v="80"/>
    <x v="57"/>
    <x v="74"/>
    <x v="0"/>
    <x v="74"/>
    <x v="74"/>
  </r>
  <r>
    <x v="85"/>
    <x v="85"/>
    <x v="5"/>
    <x v="56"/>
    <x v="53"/>
    <x v="52"/>
    <n v="58"/>
    <x v="22"/>
    <x v="75"/>
    <x v="0"/>
    <x v="75"/>
    <x v="75"/>
  </r>
  <r>
    <x v="86"/>
    <x v="86"/>
    <x v="6"/>
    <x v="40"/>
    <x v="47"/>
    <x v="53"/>
    <n v="63"/>
    <x v="58"/>
    <x v="71"/>
    <x v="0"/>
    <x v="71"/>
    <x v="71"/>
  </r>
  <r>
    <x v="87"/>
    <x v="87"/>
    <x v="7"/>
    <x v="46"/>
    <x v="2"/>
    <x v="54"/>
    <n v="57"/>
    <x v="59"/>
    <x v="13"/>
    <x v="0"/>
    <x v="13"/>
    <x v="13"/>
  </r>
  <r>
    <x v="88"/>
    <x v="88"/>
    <x v="0"/>
    <x v="25"/>
    <x v="32"/>
    <x v="47"/>
    <n v="36"/>
    <x v="22"/>
    <x v="68"/>
    <x v="0"/>
    <x v="68"/>
    <x v="68"/>
  </r>
  <r>
    <x v="89"/>
    <x v="89"/>
    <x v="1"/>
    <x v="16"/>
    <x v="15"/>
    <x v="4"/>
    <n v="90"/>
    <x v="60"/>
    <x v="76"/>
    <x v="0"/>
    <x v="76"/>
    <x v="76"/>
  </r>
  <r>
    <x v="90"/>
    <x v="90"/>
    <x v="2"/>
    <x v="34"/>
    <x v="18"/>
    <x v="55"/>
    <n v="72"/>
    <x v="58"/>
    <x v="49"/>
    <x v="0"/>
    <x v="49"/>
    <x v="49"/>
  </r>
  <r>
    <x v="91"/>
    <x v="91"/>
    <x v="3"/>
    <x v="18"/>
    <x v="54"/>
    <x v="6"/>
    <n v="98"/>
    <x v="25"/>
    <x v="68"/>
    <x v="0"/>
    <x v="68"/>
    <x v="68"/>
  </r>
  <r>
    <x v="92"/>
    <x v="92"/>
    <x v="4"/>
    <x v="39"/>
    <x v="55"/>
    <x v="56"/>
    <n v="32"/>
    <x v="61"/>
    <x v="67"/>
    <x v="0"/>
    <x v="67"/>
    <x v="67"/>
  </r>
  <r>
    <x v="93"/>
    <x v="93"/>
    <x v="5"/>
    <x v="57"/>
    <x v="38"/>
    <x v="56"/>
    <n v="31"/>
    <x v="47"/>
    <x v="77"/>
    <x v="0"/>
    <x v="77"/>
    <x v="77"/>
  </r>
  <r>
    <x v="94"/>
    <x v="94"/>
    <x v="6"/>
    <x v="15"/>
    <x v="30"/>
    <x v="57"/>
    <n v="68"/>
    <x v="62"/>
    <x v="78"/>
    <x v="0"/>
    <x v="78"/>
    <x v="78"/>
  </r>
  <r>
    <x v="95"/>
    <x v="95"/>
    <x v="7"/>
    <x v="4"/>
    <x v="2"/>
    <x v="27"/>
    <n v="85"/>
    <x v="63"/>
    <x v="35"/>
    <x v="0"/>
    <x v="35"/>
    <x v="35"/>
  </r>
  <r>
    <x v="96"/>
    <x v="96"/>
    <x v="0"/>
    <x v="58"/>
    <x v="56"/>
    <x v="42"/>
    <n v="85"/>
    <x v="64"/>
    <x v="67"/>
    <x v="0"/>
    <x v="67"/>
    <x v="67"/>
  </r>
  <r>
    <x v="97"/>
    <x v="97"/>
    <x v="1"/>
    <x v="37"/>
    <x v="49"/>
    <x v="58"/>
    <n v="69"/>
    <x v="64"/>
    <x v="66"/>
    <x v="0"/>
    <x v="66"/>
    <x v="66"/>
  </r>
  <r>
    <x v="98"/>
    <x v="98"/>
    <x v="2"/>
    <x v="35"/>
    <x v="7"/>
    <x v="59"/>
    <n v="32"/>
    <x v="65"/>
    <x v="79"/>
    <x v="0"/>
    <x v="79"/>
    <x v="79"/>
  </r>
  <r>
    <x v="99"/>
    <x v="99"/>
    <x v="3"/>
    <x v="59"/>
    <x v="57"/>
    <x v="53"/>
    <n v="91"/>
    <x v="29"/>
    <x v="76"/>
    <x v="0"/>
    <x v="76"/>
    <x v="76"/>
  </r>
  <r>
    <x v="100"/>
    <x v="100"/>
    <x v="4"/>
    <x v="0"/>
    <x v="12"/>
    <x v="21"/>
    <n v="69"/>
    <x v="66"/>
    <x v="80"/>
    <x v="0"/>
    <x v="80"/>
    <x v="80"/>
  </r>
  <r>
    <x v="101"/>
    <x v="101"/>
    <x v="5"/>
    <x v="54"/>
    <x v="11"/>
    <x v="8"/>
    <n v="95"/>
    <x v="52"/>
    <x v="46"/>
    <x v="0"/>
    <x v="46"/>
    <x v="46"/>
  </r>
  <r>
    <x v="102"/>
    <x v="102"/>
    <x v="6"/>
    <x v="60"/>
    <x v="38"/>
    <x v="28"/>
    <n v="40"/>
    <x v="17"/>
    <x v="81"/>
    <x v="0"/>
    <x v="81"/>
    <x v="81"/>
  </r>
  <r>
    <x v="103"/>
    <x v="103"/>
    <x v="7"/>
    <x v="5"/>
    <x v="28"/>
    <x v="26"/>
    <n v="25"/>
    <x v="54"/>
    <x v="13"/>
    <x v="0"/>
    <x v="13"/>
    <x v="13"/>
  </r>
  <r>
    <x v="104"/>
    <x v="104"/>
    <x v="0"/>
    <x v="36"/>
    <x v="58"/>
    <x v="60"/>
    <n v="65"/>
    <x v="67"/>
    <x v="70"/>
    <x v="0"/>
    <x v="70"/>
    <x v="70"/>
  </r>
  <r>
    <x v="105"/>
    <x v="105"/>
    <x v="1"/>
    <x v="61"/>
    <x v="18"/>
    <x v="13"/>
    <n v="30"/>
    <x v="32"/>
    <x v="82"/>
    <x v="0"/>
    <x v="82"/>
    <x v="82"/>
  </r>
  <r>
    <x v="106"/>
    <x v="106"/>
    <x v="2"/>
    <x v="61"/>
    <x v="59"/>
    <x v="7"/>
    <n v="78"/>
    <x v="11"/>
    <x v="83"/>
    <x v="0"/>
    <x v="83"/>
    <x v="83"/>
  </r>
  <r>
    <x v="107"/>
    <x v="107"/>
    <x v="3"/>
    <x v="43"/>
    <x v="60"/>
    <x v="46"/>
    <n v="26"/>
    <x v="32"/>
    <x v="84"/>
    <x v="0"/>
    <x v="84"/>
    <x v="84"/>
  </r>
  <r>
    <x v="108"/>
    <x v="108"/>
    <x v="4"/>
    <x v="62"/>
    <x v="5"/>
    <x v="28"/>
    <n v="57"/>
    <x v="54"/>
    <x v="85"/>
    <x v="0"/>
    <x v="85"/>
    <x v="85"/>
  </r>
  <r>
    <x v="109"/>
    <x v="109"/>
    <x v="5"/>
    <x v="12"/>
    <x v="61"/>
    <x v="61"/>
    <n v="83"/>
    <x v="61"/>
    <x v="86"/>
    <x v="0"/>
    <x v="86"/>
    <x v="86"/>
  </r>
  <r>
    <x v="110"/>
    <x v="110"/>
    <x v="6"/>
    <x v="55"/>
    <x v="9"/>
    <x v="39"/>
    <n v="99"/>
    <x v="33"/>
    <x v="87"/>
    <x v="0"/>
    <x v="87"/>
    <x v="87"/>
  </r>
  <r>
    <x v="111"/>
    <x v="111"/>
    <x v="7"/>
    <x v="18"/>
    <x v="45"/>
    <x v="62"/>
    <n v="47"/>
    <x v="40"/>
    <x v="88"/>
    <x v="0"/>
    <x v="88"/>
    <x v="88"/>
  </r>
  <r>
    <x v="112"/>
    <x v="112"/>
    <x v="0"/>
    <x v="42"/>
    <x v="11"/>
    <x v="63"/>
    <n v="54"/>
    <x v="11"/>
    <x v="89"/>
    <x v="0"/>
    <x v="89"/>
    <x v="89"/>
  </r>
  <r>
    <x v="113"/>
    <x v="113"/>
    <x v="1"/>
    <x v="44"/>
    <x v="47"/>
    <x v="11"/>
    <n v="42"/>
    <x v="68"/>
    <x v="90"/>
    <x v="0"/>
    <x v="90"/>
    <x v="90"/>
  </r>
  <r>
    <x v="114"/>
    <x v="114"/>
    <x v="2"/>
    <x v="2"/>
    <x v="57"/>
    <x v="64"/>
    <n v="11"/>
    <x v="20"/>
    <x v="31"/>
    <x v="0"/>
    <x v="31"/>
    <x v="31"/>
  </r>
  <r>
    <x v="115"/>
    <x v="115"/>
    <x v="3"/>
    <x v="51"/>
    <x v="54"/>
    <x v="27"/>
    <n v="57"/>
    <x v="69"/>
    <x v="91"/>
    <x v="0"/>
    <x v="91"/>
    <x v="91"/>
  </r>
  <r>
    <x v="116"/>
    <x v="116"/>
    <x v="4"/>
    <x v="63"/>
    <x v="62"/>
    <x v="27"/>
    <n v="28"/>
    <x v="32"/>
    <x v="55"/>
    <x v="0"/>
    <x v="55"/>
    <x v="55"/>
  </r>
  <r>
    <x v="117"/>
    <x v="117"/>
    <x v="5"/>
    <x v="63"/>
    <x v="63"/>
    <x v="44"/>
    <n v="71"/>
    <x v="22"/>
    <x v="92"/>
    <x v="0"/>
    <x v="92"/>
    <x v="92"/>
  </r>
  <r>
    <x v="118"/>
    <x v="118"/>
    <x v="6"/>
    <x v="18"/>
    <x v="46"/>
    <x v="65"/>
    <n v="31"/>
    <x v="32"/>
    <x v="93"/>
    <x v="0"/>
    <x v="93"/>
    <x v="93"/>
  </r>
  <r>
    <x v="119"/>
    <x v="119"/>
    <x v="7"/>
    <x v="27"/>
    <x v="64"/>
    <x v="19"/>
    <n v="96"/>
    <x v="70"/>
    <x v="94"/>
    <x v="0"/>
    <x v="94"/>
    <x v="94"/>
  </r>
  <r>
    <x v="120"/>
    <x v="120"/>
    <x v="0"/>
    <x v="30"/>
    <x v="22"/>
    <x v="32"/>
    <n v="55"/>
    <x v="54"/>
    <x v="49"/>
    <x v="0"/>
    <x v="49"/>
    <x v="49"/>
  </r>
  <r>
    <x v="121"/>
    <x v="121"/>
    <x v="1"/>
    <x v="64"/>
    <x v="50"/>
    <x v="14"/>
    <n v="70"/>
    <x v="71"/>
    <x v="95"/>
    <x v="0"/>
    <x v="95"/>
    <x v="95"/>
  </r>
  <r>
    <x v="122"/>
    <x v="122"/>
    <x v="2"/>
    <x v="65"/>
    <x v="49"/>
    <x v="66"/>
    <n v="68"/>
    <x v="28"/>
    <x v="64"/>
    <x v="0"/>
    <x v="64"/>
    <x v="64"/>
  </r>
  <r>
    <x v="123"/>
    <x v="123"/>
    <x v="3"/>
    <x v="63"/>
    <x v="33"/>
    <x v="64"/>
    <n v="92"/>
    <x v="48"/>
    <x v="67"/>
    <x v="0"/>
    <x v="67"/>
    <x v="67"/>
  </r>
  <r>
    <x v="124"/>
    <x v="124"/>
    <x v="4"/>
    <x v="58"/>
    <x v="41"/>
    <x v="67"/>
    <n v="66"/>
    <x v="72"/>
    <x v="96"/>
    <x v="0"/>
    <x v="96"/>
    <x v="96"/>
  </r>
  <r>
    <x v="125"/>
    <x v="125"/>
    <x v="5"/>
    <x v="47"/>
    <x v="24"/>
    <x v="19"/>
    <n v="70"/>
    <x v="1"/>
    <x v="97"/>
    <x v="0"/>
    <x v="97"/>
    <x v="97"/>
  </r>
  <r>
    <x v="126"/>
    <x v="126"/>
    <x v="6"/>
    <x v="66"/>
    <x v="64"/>
    <x v="61"/>
    <n v="60"/>
    <x v="38"/>
    <x v="46"/>
    <x v="0"/>
    <x v="46"/>
    <x v="46"/>
  </r>
  <r>
    <x v="127"/>
    <x v="127"/>
    <x v="7"/>
    <x v="67"/>
    <x v="65"/>
    <x v="8"/>
    <n v="82"/>
    <x v="63"/>
    <x v="20"/>
    <x v="0"/>
    <x v="20"/>
    <x v="20"/>
  </r>
  <r>
    <x v="128"/>
    <x v="128"/>
    <x v="0"/>
    <x v="63"/>
    <x v="1"/>
    <x v="67"/>
    <n v="83"/>
    <x v="9"/>
    <x v="13"/>
    <x v="0"/>
    <x v="13"/>
    <x v="13"/>
  </r>
  <r>
    <x v="129"/>
    <x v="129"/>
    <x v="1"/>
    <x v="54"/>
    <x v="66"/>
    <x v="33"/>
    <n v="72"/>
    <x v="73"/>
    <x v="98"/>
    <x v="0"/>
    <x v="98"/>
    <x v="98"/>
  </r>
  <r>
    <x v="130"/>
    <x v="130"/>
    <x v="2"/>
    <x v="68"/>
    <x v="2"/>
    <x v="26"/>
    <n v="60"/>
    <x v="53"/>
    <x v="86"/>
    <x v="0"/>
    <x v="86"/>
    <x v="86"/>
  </r>
  <r>
    <x v="131"/>
    <x v="131"/>
    <x v="3"/>
    <x v="51"/>
    <x v="67"/>
    <x v="25"/>
    <n v="53"/>
    <x v="4"/>
    <x v="33"/>
    <x v="0"/>
    <x v="33"/>
    <x v="33"/>
  </r>
  <r>
    <x v="132"/>
    <x v="132"/>
    <x v="4"/>
    <x v="5"/>
    <x v="30"/>
    <x v="52"/>
    <n v="51"/>
    <x v="40"/>
    <x v="99"/>
    <x v="0"/>
    <x v="99"/>
    <x v="99"/>
  </r>
  <r>
    <x v="133"/>
    <x v="133"/>
    <x v="5"/>
    <x v="19"/>
    <x v="63"/>
    <x v="36"/>
    <n v="41"/>
    <x v="45"/>
    <x v="50"/>
    <x v="0"/>
    <x v="50"/>
    <x v="50"/>
  </r>
  <r>
    <x v="134"/>
    <x v="134"/>
    <x v="6"/>
    <x v="27"/>
    <x v="17"/>
    <x v="35"/>
    <n v="86"/>
    <x v="44"/>
    <x v="100"/>
    <x v="0"/>
    <x v="100"/>
    <x v="100"/>
  </r>
  <r>
    <x v="135"/>
    <x v="135"/>
    <x v="7"/>
    <x v="30"/>
    <x v="67"/>
    <x v="52"/>
    <n v="85"/>
    <x v="12"/>
    <x v="94"/>
    <x v="0"/>
    <x v="94"/>
    <x v="94"/>
  </r>
  <r>
    <x v="136"/>
    <x v="136"/>
    <x v="0"/>
    <x v="7"/>
    <x v="36"/>
    <x v="4"/>
    <n v="56"/>
    <x v="74"/>
    <x v="3"/>
    <x v="0"/>
    <x v="3"/>
    <x v="3"/>
  </r>
  <r>
    <x v="137"/>
    <x v="137"/>
    <x v="1"/>
    <x v="25"/>
    <x v="51"/>
    <x v="65"/>
    <n v="95"/>
    <x v="59"/>
    <x v="101"/>
    <x v="0"/>
    <x v="101"/>
    <x v="101"/>
  </r>
  <r>
    <x v="138"/>
    <x v="138"/>
    <x v="2"/>
    <x v="69"/>
    <x v="68"/>
    <x v="33"/>
    <n v="26"/>
    <x v="68"/>
    <x v="94"/>
    <x v="0"/>
    <x v="94"/>
    <x v="94"/>
  </r>
  <r>
    <x v="139"/>
    <x v="139"/>
    <x v="3"/>
    <x v="53"/>
    <x v="69"/>
    <x v="34"/>
    <n v="65"/>
    <x v="54"/>
    <x v="94"/>
    <x v="0"/>
    <x v="94"/>
    <x v="94"/>
  </r>
  <r>
    <x v="140"/>
    <x v="140"/>
    <x v="4"/>
    <x v="56"/>
    <x v="9"/>
    <x v="68"/>
    <n v="67"/>
    <x v="75"/>
    <x v="66"/>
    <x v="0"/>
    <x v="66"/>
    <x v="6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F66CC1B-056D-4ABA-87B8-CF32711A4749}" name="PivotTable2" cacheId="2"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8">
  <location ref="A29:B38" firstHeaderRow="1" firstDataRow="1" firstDataCol="1"/>
  <pivotFields count="12">
    <pivotField showAll="0"/>
    <pivotField showAll="0">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axis="axisRow" showAll="0">
      <items count="9">
        <item x="3"/>
        <item x="1"/>
        <item x="0"/>
        <item x="2"/>
        <item x="5"/>
        <item x="4"/>
        <item x="6"/>
        <item x="7"/>
        <item t="default"/>
      </items>
    </pivotField>
    <pivotField showAll="0">
      <items count="71">
        <item x="28"/>
        <item x="16"/>
        <item x="48"/>
        <item x="14"/>
        <item x="38"/>
        <item x="24"/>
        <item x="35"/>
        <item x="39"/>
        <item x="17"/>
        <item x="64"/>
        <item x="37"/>
        <item x="62"/>
        <item x="65"/>
        <item x="63"/>
        <item x="26"/>
        <item x="58"/>
        <item x="46"/>
        <item x="40"/>
        <item x="4"/>
        <item x="15"/>
        <item x="55"/>
        <item x="22"/>
        <item x="47"/>
        <item x="67"/>
        <item x="42"/>
        <item x="1"/>
        <item x="2"/>
        <item x="56"/>
        <item x="23"/>
        <item x="52"/>
        <item x="0"/>
        <item x="50"/>
        <item x="45"/>
        <item x="3"/>
        <item x="8"/>
        <item x="60"/>
        <item x="21"/>
        <item x="66"/>
        <item x="61"/>
        <item x="9"/>
        <item x="27"/>
        <item x="31"/>
        <item x="19"/>
        <item x="32"/>
        <item x="51"/>
        <item x="25"/>
        <item x="7"/>
        <item x="33"/>
        <item x="43"/>
        <item x="41"/>
        <item x="53"/>
        <item x="13"/>
        <item x="10"/>
        <item x="34"/>
        <item x="54"/>
        <item x="29"/>
        <item x="12"/>
        <item x="6"/>
        <item x="69"/>
        <item x="5"/>
        <item x="44"/>
        <item x="36"/>
        <item x="68"/>
        <item x="30"/>
        <item x="59"/>
        <item x="18"/>
        <item x="11"/>
        <item x="57"/>
        <item x="49"/>
        <item x="20"/>
        <item t="default"/>
      </items>
    </pivotField>
    <pivotField showAll="0"/>
    <pivotField showAll="0">
      <items count="70">
        <item x="34"/>
        <item x="11"/>
        <item x="36"/>
        <item x="3"/>
        <item x="35"/>
        <item x="60"/>
        <item x="27"/>
        <item x="21"/>
        <item x="8"/>
        <item x="56"/>
        <item x="55"/>
        <item x="5"/>
        <item x="30"/>
        <item x="66"/>
        <item x="46"/>
        <item x="20"/>
        <item x="61"/>
        <item x="32"/>
        <item x="13"/>
        <item x="63"/>
        <item x="6"/>
        <item x="9"/>
        <item x="28"/>
        <item x="41"/>
        <item x="53"/>
        <item x="31"/>
        <item x="14"/>
        <item x="45"/>
        <item x="1"/>
        <item x="19"/>
        <item x="4"/>
        <item x="57"/>
        <item x="7"/>
        <item x="42"/>
        <item x="68"/>
        <item x="47"/>
        <item x="52"/>
        <item x="64"/>
        <item x="51"/>
        <item x="49"/>
        <item x="17"/>
        <item x="54"/>
        <item x="12"/>
        <item x="50"/>
        <item x="25"/>
        <item x="43"/>
        <item x="39"/>
        <item x="33"/>
        <item x="67"/>
        <item x="29"/>
        <item x="23"/>
        <item x="59"/>
        <item x="40"/>
        <item x="38"/>
        <item x="62"/>
        <item x="58"/>
        <item x="48"/>
        <item x="2"/>
        <item x="44"/>
        <item x="37"/>
        <item x="16"/>
        <item x="24"/>
        <item x="65"/>
        <item x="22"/>
        <item x="10"/>
        <item x="15"/>
        <item x="18"/>
        <item x="0"/>
        <item x="26"/>
        <item t="default"/>
      </items>
    </pivotField>
    <pivotField showAll="0"/>
    <pivotField showAll="0"/>
    <pivotField dataField="1" showAll="0"/>
    <pivotField showAll="0"/>
    <pivotField numFmtId="10" showAll="0"/>
    <pivotField numFmtId="10" showAll="0">
      <items count="103">
        <item x="88"/>
        <item x="53"/>
        <item x="73"/>
        <item x="101"/>
        <item x="2"/>
        <item x="10"/>
        <item x="83"/>
        <item x="37"/>
        <item x="6"/>
        <item x="17"/>
        <item x="23"/>
        <item x="86"/>
        <item x="26"/>
        <item x="70"/>
        <item x="39"/>
        <item x="74"/>
        <item x="99"/>
        <item x="21"/>
        <item x="56"/>
        <item x="25"/>
        <item x="43"/>
        <item x="0"/>
        <item x="32"/>
        <item x="11"/>
        <item x="54"/>
        <item x="95"/>
        <item x="24"/>
        <item x="30"/>
        <item x="46"/>
        <item x="87"/>
        <item x="76"/>
        <item x="69"/>
        <item x="94"/>
        <item x="89"/>
        <item x="98"/>
        <item x="13"/>
        <item x="79"/>
        <item x="96"/>
        <item x="18"/>
        <item x="49"/>
        <item x="57"/>
        <item x="42"/>
        <item x="14"/>
        <item x="72"/>
        <item x="3"/>
        <item x="65"/>
        <item x="66"/>
        <item x="7"/>
        <item x="48"/>
        <item x="91"/>
        <item x="68"/>
        <item x="92"/>
        <item x="22"/>
        <item x="34"/>
        <item x="97"/>
        <item x="100"/>
        <item x="44"/>
        <item x="80"/>
        <item x="52"/>
        <item x="5"/>
        <item x="33"/>
        <item x="47"/>
        <item x="93"/>
        <item x="63"/>
        <item x="16"/>
        <item x="15"/>
        <item x="45"/>
        <item x="51"/>
        <item x="67"/>
        <item x="90"/>
        <item x="1"/>
        <item x="85"/>
        <item x="78"/>
        <item x="41"/>
        <item x="35"/>
        <item x="28"/>
        <item x="59"/>
        <item x="82"/>
        <item x="64"/>
        <item x="29"/>
        <item x="81"/>
        <item x="9"/>
        <item x="50"/>
        <item x="75"/>
        <item x="31"/>
        <item x="4"/>
        <item x="84"/>
        <item x="71"/>
        <item x="61"/>
        <item x="36"/>
        <item x="38"/>
        <item x="77"/>
        <item x="19"/>
        <item x="12"/>
        <item x="40"/>
        <item x="8"/>
        <item x="20"/>
        <item x="27"/>
        <item x="58"/>
        <item x="55"/>
        <item x="60"/>
        <item x="62"/>
        <item t="default"/>
      </items>
    </pivotField>
  </pivotFields>
  <rowFields count="1">
    <field x="2"/>
  </rowFields>
  <rowItems count="9">
    <i>
      <x/>
    </i>
    <i>
      <x v="1"/>
    </i>
    <i>
      <x v="2"/>
    </i>
    <i>
      <x v="3"/>
    </i>
    <i>
      <x v="4"/>
    </i>
    <i>
      <x v="5"/>
    </i>
    <i>
      <x v="6"/>
    </i>
    <i>
      <x v="7"/>
    </i>
    <i t="grand">
      <x/>
    </i>
  </rowItems>
  <colItems count="1">
    <i/>
  </colItems>
  <dataFields count="1">
    <dataField name="Total Sales " fld="8" baseField="0" baseItem="0"/>
  </dataFields>
  <formats count="6">
    <format dxfId="309">
      <pivotArea type="all" dataOnly="0" outline="0" fieldPosition="0"/>
    </format>
    <format dxfId="308">
      <pivotArea outline="0" collapsedLevelsAreSubtotals="1" fieldPosition="0"/>
    </format>
    <format dxfId="307">
      <pivotArea field="2" type="button" dataOnly="0" labelOnly="1" outline="0" axis="axisRow" fieldPosition="0"/>
    </format>
    <format dxfId="306">
      <pivotArea dataOnly="0" labelOnly="1" fieldPosition="0">
        <references count="1">
          <reference field="2" count="0"/>
        </references>
      </pivotArea>
    </format>
    <format dxfId="305">
      <pivotArea dataOnly="0" labelOnly="1" grandRow="1" outline="0" fieldPosition="0"/>
    </format>
    <format dxfId="304">
      <pivotArea dataOnly="0" labelOnly="1" outline="0" axis="axisValues" fieldPosition="0"/>
    </format>
  </formats>
  <chartFormats count="2">
    <chartFormat chart="4" format="0"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ACD1C34-B51D-4B1B-94BC-1677340EA37C}" name="PivotTable1" cacheId="2"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10">
  <location ref="A3:F12" firstHeaderRow="0" firstDataRow="1" firstDataCol="1"/>
  <pivotFields count="12">
    <pivotField showAll="0"/>
    <pivotField showAll="0">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axis="axisRow" showAll="0">
      <items count="9">
        <item x="3"/>
        <item x="1"/>
        <item x="0"/>
        <item x="2"/>
        <item x="5"/>
        <item x="4"/>
        <item x="6"/>
        <item x="7"/>
        <item t="default"/>
      </items>
    </pivotField>
    <pivotField dataField="1" showAll="0">
      <items count="71">
        <item x="28"/>
        <item x="16"/>
        <item x="48"/>
        <item x="14"/>
        <item x="38"/>
        <item x="24"/>
        <item x="35"/>
        <item x="39"/>
        <item x="17"/>
        <item x="64"/>
        <item x="37"/>
        <item x="62"/>
        <item x="65"/>
        <item x="63"/>
        <item x="26"/>
        <item x="58"/>
        <item x="46"/>
        <item x="40"/>
        <item x="4"/>
        <item x="15"/>
        <item x="55"/>
        <item x="22"/>
        <item x="47"/>
        <item x="67"/>
        <item x="42"/>
        <item x="1"/>
        <item x="2"/>
        <item x="56"/>
        <item x="23"/>
        <item x="52"/>
        <item x="0"/>
        <item x="50"/>
        <item x="45"/>
        <item x="3"/>
        <item x="8"/>
        <item x="60"/>
        <item x="21"/>
        <item x="66"/>
        <item x="61"/>
        <item x="9"/>
        <item x="27"/>
        <item x="31"/>
        <item x="19"/>
        <item x="32"/>
        <item x="51"/>
        <item x="25"/>
        <item x="7"/>
        <item x="33"/>
        <item x="43"/>
        <item x="41"/>
        <item x="53"/>
        <item x="13"/>
        <item x="10"/>
        <item x="34"/>
        <item x="54"/>
        <item x="29"/>
        <item x="12"/>
        <item x="6"/>
        <item x="69"/>
        <item x="5"/>
        <item x="44"/>
        <item x="36"/>
        <item x="68"/>
        <item x="30"/>
        <item x="59"/>
        <item x="18"/>
        <item x="11"/>
        <item x="57"/>
        <item x="49"/>
        <item x="20"/>
        <item t="default"/>
      </items>
    </pivotField>
    <pivotField dataField="1" showAll="0">
      <items count="71">
        <item x="46"/>
        <item x="40"/>
        <item x="28"/>
        <item x="38"/>
        <item x="47"/>
        <item x="33"/>
        <item x="10"/>
        <item x="29"/>
        <item x="53"/>
        <item x="67"/>
        <item x="19"/>
        <item x="27"/>
        <item x="65"/>
        <item x="14"/>
        <item x="8"/>
        <item x="6"/>
        <item x="25"/>
        <item x="5"/>
        <item x="17"/>
        <item x="39"/>
        <item x="35"/>
        <item x="22"/>
        <item x="37"/>
        <item x="54"/>
        <item x="68"/>
        <item x="48"/>
        <item x="57"/>
        <item x="16"/>
        <item x="56"/>
        <item x="51"/>
        <item x="31"/>
        <item x="9"/>
        <item x="60"/>
        <item x="4"/>
        <item x="41"/>
        <item x="13"/>
        <item x="26"/>
        <item x="30"/>
        <item x="63"/>
        <item x="61"/>
        <item x="52"/>
        <item x="62"/>
        <item x="24"/>
        <item x="36"/>
        <item x="66"/>
        <item x="15"/>
        <item x="42"/>
        <item x="20"/>
        <item x="34"/>
        <item x="18"/>
        <item x="45"/>
        <item x="44"/>
        <item x="12"/>
        <item x="43"/>
        <item x="2"/>
        <item x="55"/>
        <item x="69"/>
        <item x="32"/>
        <item x="49"/>
        <item x="0"/>
        <item x="1"/>
        <item x="21"/>
        <item x="11"/>
        <item x="23"/>
        <item x="59"/>
        <item x="64"/>
        <item x="50"/>
        <item x="58"/>
        <item x="7"/>
        <item x="3"/>
        <item t="default"/>
      </items>
    </pivotField>
    <pivotField dataField="1" showAll="0">
      <items count="70">
        <item x="34"/>
        <item x="11"/>
        <item x="36"/>
        <item x="3"/>
        <item x="35"/>
        <item x="60"/>
        <item x="27"/>
        <item x="21"/>
        <item x="8"/>
        <item x="56"/>
        <item x="55"/>
        <item x="5"/>
        <item x="30"/>
        <item x="66"/>
        <item x="46"/>
        <item x="20"/>
        <item x="61"/>
        <item x="32"/>
        <item x="13"/>
        <item x="63"/>
        <item x="6"/>
        <item x="9"/>
        <item x="28"/>
        <item x="41"/>
        <item x="53"/>
        <item x="31"/>
        <item x="14"/>
        <item x="45"/>
        <item x="1"/>
        <item x="19"/>
        <item x="4"/>
        <item x="57"/>
        <item x="7"/>
        <item x="42"/>
        <item x="68"/>
        <item x="47"/>
        <item x="52"/>
        <item x="64"/>
        <item x="51"/>
        <item x="49"/>
        <item x="17"/>
        <item x="54"/>
        <item x="12"/>
        <item x="50"/>
        <item x="25"/>
        <item x="43"/>
        <item x="39"/>
        <item x="33"/>
        <item x="67"/>
        <item x="29"/>
        <item x="23"/>
        <item x="59"/>
        <item x="40"/>
        <item x="38"/>
        <item x="62"/>
        <item x="58"/>
        <item x="48"/>
        <item x="2"/>
        <item x="44"/>
        <item x="37"/>
        <item x="16"/>
        <item x="24"/>
        <item x="65"/>
        <item x="22"/>
        <item x="10"/>
        <item x="15"/>
        <item x="18"/>
        <item x="0"/>
        <item x="26"/>
        <item t="default"/>
      </items>
    </pivotField>
    <pivotField dataField="1" showAll="0"/>
    <pivotField dataField="1" showAll="0">
      <items count="77">
        <item x="25"/>
        <item x="50"/>
        <item x="73"/>
        <item x="36"/>
        <item x="70"/>
        <item x="63"/>
        <item x="51"/>
        <item x="18"/>
        <item x="62"/>
        <item x="8"/>
        <item x="39"/>
        <item x="28"/>
        <item x="43"/>
        <item x="64"/>
        <item x="46"/>
        <item x="53"/>
        <item x="35"/>
        <item x="3"/>
        <item x="32"/>
        <item x="14"/>
        <item x="22"/>
        <item x="23"/>
        <item x="45"/>
        <item x="9"/>
        <item x="16"/>
        <item x="52"/>
        <item x="13"/>
        <item x="0"/>
        <item x="37"/>
        <item x="74"/>
        <item x="47"/>
        <item x="15"/>
        <item x="55"/>
        <item x="29"/>
        <item x="1"/>
        <item x="4"/>
        <item x="48"/>
        <item x="10"/>
        <item x="20"/>
        <item x="7"/>
        <item x="58"/>
        <item x="66"/>
        <item x="34"/>
        <item x="42"/>
        <item x="33"/>
        <item x="31"/>
        <item x="12"/>
        <item x="30"/>
        <item x="56"/>
        <item x="75"/>
        <item x="49"/>
        <item x="27"/>
        <item x="17"/>
        <item x="44"/>
        <item x="41"/>
        <item x="59"/>
        <item x="72"/>
        <item x="65"/>
        <item x="5"/>
        <item x="38"/>
        <item x="6"/>
        <item x="57"/>
        <item x="54"/>
        <item x="67"/>
        <item x="68"/>
        <item x="26"/>
        <item x="40"/>
        <item x="11"/>
        <item x="21"/>
        <item x="19"/>
        <item x="2"/>
        <item x="61"/>
        <item x="69"/>
        <item x="24"/>
        <item x="71"/>
        <item x="60"/>
        <item t="default"/>
      </items>
    </pivotField>
    <pivotField showAll="0"/>
    <pivotField showAll="0"/>
    <pivotField numFmtId="10" showAll="0">
      <items count="103">
        <item x="62"/>
        <item x="60"/>
        <item x="55"/>
        <item x="58"/>
        <item x="27"/>
        <item x="20"/>
        <item x="8"/>
        <item x="40"/>
        <item x="12"/>
        <item x="19"/>
        <item x="77"/>
        <item x="38"/>
        <item x="36"/>
        <item x="61"/>
        <item x="71"/>
        <item x="84"/>
        <item x="4"/>
        <item x="31"/>
        <item x="75"/>
        <item x="50"/>
        <item x="9"/>
        <item x="81"/>
        <item x="29"/>
        <item x="64"/>
        <item x="82"/>
        <item x="59"/>
        <item x="28"/>
        <item x="35"/>
        <item x="41"/>
        <item x="78"/>
        <item x="85"/>
        <item x="1"/>
        <item x="90"/>
        <item x="67"/>
        <item x="51"/>
        <item x="45"/>
        <item x="15"/>
        <item x="16"/>
        <item x="63"/>
        <item x="93"/>
        <item x="47"/>
        <item x="33"/>
        <item x="5"/>
        <item x="52"/>
        <item x="80"/>
        <item x="44"/>
        <item x="100"/>
        <item x="97"/>
        <item x="34"/>
        <item x="22"/>
        <item x="92"/>
        <item x="68"/>
        <item x="91"/>
        <item x="48"/>
        <item x="7"/>
        <item x="66"/>
        <item x="65"/>
        <item x="3"/>
        <item x="72"/>
        <item x="14"/>
        <item x="42"/>
        <item x="57"/>
        <item x="49"/>
        <item x="18"/>
        <item x="96"/>
        <item x="79"/>
        <item x="13"/>
        <item x="98"/>
        <item x="89"/>
        <item x="94"/>
        <item x="69"/>
        <item x="76"/>
        <item x="87"/>
        <item x="46"/>
        <item x="30"/>
        <item x="24"/>
        <item x="95"/>
        <item x="54"/>
        <item x="11"/>
        <item x="32"/>
        <item x="0"/>
        <item x="43"/>
        <item x="25"/>
        <item x="56"/>
        <item x="21"/>
        <item x="99"/>
        <item x="74"/>
        <item x="39"/>
        <item x="70"/>
        <item x="26"/>
        <item x="86"/>
        <item x="23"/>
        <item x="17"/>
        <item x="6"/>
        <item x="37"/>
        <item x="83"/>
        <item x="10"/>
        <item x="2"/>
        <item x="101"/>
        <item x="73"/>
        <item x="53"/>
        <item x="88"/>
        <item t="default"/>
      </items>
    </pivotField>
    <pivotField numFmtId="10" showAll="0">
      <items count="103">
        <item x="88"/>
        <item x="53"/>
        <item x="73"/>
        <item x="101"/>
        <item x="2"/>
        <item x="10"/>
        <item x="83"/>
        <item x="37"/>
        <item x="6"/>
        <item x="17"/>
        <item x="23"/>
        <item x="86"/>
        <item x="26"/>
        <item x="70"/>
        <item x="39"/>
        <item x="74"/>
        <item x="99"/>
        <item x="21"/>
        <item x="56"/>
        <item x="25"/>
        <item x="43"/>
        <item x="0"/>
        <item x="32"/>
        <item x="11"/>
        <item x="54"/>
        <item x="95"/>
        <item x="24"/>
        <item x="30"/>
        <item x="46"/>
        <item x="87"/>
        <item x="76"/>
        <item x="69"/>
        <item x="94"/>
        <item x="89"/>
        <item x="98"/>
        <item x="13"/>
        <item x="79"/>
        <item x="96"/>
        <item x="18"/>
        <item x="49"/>
        <item x="57"/>
        <item x="42"/>
        <item x="14"/>
        <item x="72"/>
        <item x="3"/>
        <item x="65"/>
        <item x="66"/>
        <item x="7"/>
        <item x="48"/>
        <item x="91"/>
        <item x="68"/>
        <item x="92"/>
        <item x="22"/>
        <item x="34"/>
        <item x="97"/>
        <item x="100"/>
        <item x="44"/>
        <item x="80"/>
        <item x="52"/>
        <item x="5"/>
        <item x="33"/>
        <item x="47"/>
        <item x="93"/>
        <item x="63"/>
        <item x="16"/>
        <item x="15"/>
        <item x="45"/>
        <item x="51"/>
        <item x="67"/>
        <item x="90"/>
        <item x="1"/>
        <item x="85"/>
        <item x="78"/>
        <item x="41"/>
        <item x="35"/>
        <item x="28"/>
        <item x="59"/>
        <item x="82"/>
        <item x="64"/>
        <item x="29"/>
        <item x="81"/>
        <item x="9"/>
        <item x="50"/>
        <item x="75"/>
        <item x="31"/>
        <item x="4"/>
        <item x="84"/>
        <item x="71"/>
        <item x="61"/>
        <item x="36"/>
        <item x="38"/>
        <item x="77"/>
        <item x="19"/>
        <item x="12"/>
        <item x="40"/>
        <item x="8"/>
        <item x="20"/>
        <item x="27"/>
        <item x="58"/>
        <item x="55"/>
        <item x="60"/>
        <item x="62"/>
        <item t="default"/>
      </items>
    </pivotField>
  </pivotFields>
  <rowFields count="1">
    <field x="2"/>
  </rowFields>
  <rowItems count="9">
    <i>
      <x/>
    </i>
    <i>
      <x v="1"/>
    </i>
    <i>
      <x v="2"/>
    </i>
    <i>
      <x v="3"/>
    </i>
    <i>
      <x v="4"/>
    </i>
    <i>
      <x v="5"/>
    </i>
    <i>
      <x v="6"/>
    </i>
    <i>
      <x v="7"/>
    </i>
    <i t="grand">
      <x/>
    </i>
  </rowItems>
  <colFields count="1">
    <field x="-2"/>
  </colFields>
  <colItems count="5">
    <i>
      <x/>
    </i>
    <i i="1">
      <x v="1"/>
    </i>
    <i i="2">
      <x v="2"/>
    </i>
    <i i="3">
      <x v="3"/>
    </i>
    <i i="4">
      <x v="4"/>
    </i>
  </colItems>
  <dataFields count="5">
    <dataField name="Day1 " fld="3" baseField="0" baseItem="0"/>
    <dataField name="Day2 " fld="4" baseField="0" baseItem="0"/>
    <dataField name="Day3 " fld="5" baseField="0" baseItem="0"/>
    <dataField name="Day4 " fld="6" baseField="0" baseItem="0"/>
    <dataField name="Day5 " fld="7" baseField="0" baseItem="0"/>
  </dataFields>
  <formats count="6">
    <format dxfId="315">
      <pivotArea type="all" dataOnly="0" outline="0" fieldPosition="0"/>
    </format>
    <format dxfId="314">
      <pivotArea outline="0" collapsedLevelsAreSubtotals="1" fieldPosition="0"/>
    </format>
    <format dxfId="313">
      <pivotArea field="2" type="button" dataOnly="0" labelOnly="1" outline="0" axis="axisRow" fieldPosition="0"/>
    </format>
    <format dxfId="312">
      <pivotArea dataOnly="0" labelOnly="1" fieldPosition="0">
        <references count="1">
          <reference field="2" count="0"/>
        </references>
      </pivotArea>
    </format>
    <format dxfId="311">
      <pivotArea dataOnly="0" labelOnly="1" grandRow="1" outline="0" fieldPosition="0"/>
    </format>
    <format dxfId="310">
      <pivotArea dataOnly="0" labelOnly="1" outline="0" fieldPosition="0">
        <references count="1">
          <reference field="4294967294" count="5">
            <x v="0"/>
            <x v="1"/>
            <x v="2"/>
            <x v="3"/>
            <x v="4"/>
          </reference>
        </references>
      </pivotArea>
    </format>
  </formats>
  <chartFormats count="15">
    <chartFormat chart="2" format="18" series="1">
      <pivotArea type="data" outline="0" fieldPosition="0">
        <references count="1">
          <reference field="4294967294" count="1" selected="0">
            <x v="0"/>
          </reference>
        </references>
      </pivotArea>
    </chartFormat>
    <chartFormat chart="0" format="31" series="1">
      <pivotArea type="data" outline="0" fieldPosition="0">
        <references count="1">
          <reference field="4294967294" count="1" selected="0">
            <x v="0"/>
          </reference>
        </references>
      </pivotArea>
    </chartFormat>
    <chartFormat chart="2" format="20" series="1">
      <pivotArea type="data" outline="0" fieldPosition="0">
        <references count="1">
          <reference field="4294967294" count="1" selected="0">
            <x v="1"/>
          </reference>
        </references>
      </pivotArea>
    </chartFormat>
    <chartFormat chart="0" format="33" series="1">
      <pivotArea type="data" outline="0" fieldPosition="0">
        <references count="1">
          <reference field="4294967294" count="1" selected="0">
            <x v="1"/>
          </reference>
        </references>
      </pivotArea>
    </chartFormat>
    <chartFormat chart="2" format="21" series="1">
      <pivotArea type="data" outline="0" fieldPosition="0">
        <references count="1">
          <reference field="4294967294" count="1" selected="0">
            <x v="2"/>
          </reference>
        </references>
      </pivotArea>
    </chartFormat>
    <chartFormat chart="0" format="34" series="1">
      <pivotArea type="data" outline="0" fieldPosition="0">
        <references count="1">
          <reference field="4294967294" count="1" selected="0">
            <x v="2"/>
          </reference>
        </references>
      </pivotArea>
    </chartFormat>
    <chartFormat chart="2" format="22" series="1">
      <pivotArea type="data" outline="0" fieldPosition="0">
        <references count="1">
          <reference field="4294967294" count="1" selected="0">
            <x v="3"/>
          </reference>
        </references>
      </pivotArea>
    </chartFormat>
    <chartFormat chart="0" format="35" series="1">
      <pivotArea type="data" outline="0" fieldPosition="0">
        <references count="1">
          <reference field="4294967294" count="1" selected="0">
            <x v="3"/>
          </reference>
        </references>
      </pivotArea>
    </chartFormat>
    <chartFormat chart="2" format="23" series="1">
      <pivotArea type="data" outline="0" fieldPosition="0">
        <references count="1">
          <reference field="4294967294" count="1" selected="0">
            <x v="4"/>
          </reference>
        </references>
      </pivotArea>
    </chartFormat>
    <chartFormat chart="0" format="36" series="1">
      <pivotArea type="data" outline="0" fieldPosition="0">
        <references count="1">
          <reference field="4294967294" count="1" selected="0">
            <x v="4"/>
          </reference>
        </references>
      </pivotArea>
    </chartFormat>
    <chartFormat chart="9" format="29" series="1">
      <pivotArea type="data" outline="0" fieldPosition="0">
        <references count="1">
          <reference field="4294967294" count="1" selected="0">
            <x v="0"/>
          </reference>
        </references>
      </pivotArea>
    </chartFormat>
    <chartFormat chart="9" format="30" series="1">
      <pivotArea type="data" outline="0" fieldPosition="0">
        <references count="1">
          <reference field="4294967294" count="1" selected="0">
            <x v="1"/>
          </reference>
        </references>
      </pivotArea>
    </chartFormat>
    <chartFormat chart="9" format="31" series="1">
      <pivotArea type="data" outline="0" fieldPosition="0">
        <references count="1">
          <reference field="4294967294" count="1" selected="0">
            <x v="2"/>
          </reference>
        </references>
      </pivotArea>
    </chartFormat>
    <chartFormat chart="9" format="32" series="1">
      <pivotArea type="data" outline="0" fieldPosition="0">
        <references count="1">
          <reference field="4294967294" count="1" selected="0">
            <x v="3"/>
          </reference>
        </references>
      </pivotArea>
    </chartFormat>
    <chartFormat chart="9" format="33" series="1">
      <pivotArea type="data" outline="0" fieldPosition="0">
        <references count="1">
          <reference field="429496729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83BCBB7-6F7D-43A7-8CAC-290BC8067B1C}" name="PivotTable4" cacheId="2"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25">
  <location ref="A44:C53" firstHeaderRow="0" firstDataRow="1" firstDataCol="1"/>
  <pivotFields count="12">
    <pivotField showAll="0"/>
    <pivotField showAll="0">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axis="axisRow" showAll="0">
      <items count="9">
        <item x="3"/>
        <item x="1"/>
        <item x="0"/>
        <item x="2"/>
        <item x="5"/>
        <item x="4"/>
        <item x="6"/>
        <item x="7"/>
        <item t="default"/>
      </items>
    </pivotField>
    <pivotField showAll="0">
      <items count="71">
        <item x="28"/>
        <item x="16"/>
        <item x="48"/>
        <item x="14"/>
        <item x="38"/>
        <item x="24"/>
        <item x="35"/>
        <item x="39"/>
        <item x="17"/>
        <item x="64"/>
        <item x="37"/>
        <item x="62"/>
        <item x="65"/>
        <item x="63"/>
        <item x="26"/>
        <item x="58"/>
        <item x="46"/>
        <item x="40"/>
        <item x="4"/>
        <item x="15"/>
        <item x="55"/>
        <item x="22"/>
        <item x="47"/>
        <item x="67"/>
        <item x="42"/>
        <item x="1"/>
        <item x="2"/>
        <item x="56"/>
        <item x="23"/>
        <item x="52"/>
        <item x="0"/>
        <item x="50"/>
        <item x="45"/>
        <item x="3"/>
        <item x="8"/>
        <item x="60"/>
        <item x="21"/>
        <item x="66"/>
        <item x="61"/>
        <item x="9"/>
        <item x="27"/>
        <item x="31"/>
        <item x="19"/>
        <item x="32"/>
        <item x="51"/>
        <item x="25"/>
        <item x="7"/>
        <item x="33"/>
        <item x="43"/>
        <item x="41"/>
        <item x="53"/>
        <item x="13"/>
        <item x="10"/>
        <item x="34"/>
        <item x="54"/>
        <item x="29"/>
        <item x="12"/>
        <item x="6"/>
        <item x="69"/>
        <item x="5"/>
        <item x="44"/>
        <item x="36"/>
        <item x="68"/>
        <item x="30"/>
        <item x="59"/>
        <item x="18"/>
        <item x="11"/>
        <item x="57"/>
        <item x="49"/>
        <item x="20"/>
        <item t="default"/>
      </items>
    </pivotField>
    <pivotField showAll="0"/>
    <pivotField showAll="0">
      <items count="70">
        <item x="34"/>
        <item x="11"/>
        <item x="36"/>
        <item x="3"/>
        <item x="35"/>
        <item x="60"/>
        <item x="27"/>
        <item x="21"/>
        <item x="8"/>
        <item x="56"/>
        <item x="55"/>
        <item x="5"/>
        <item x="30"/>
        <item x="66"/>
        <item x="46"/>
        <item x="20"/>
        <item x="61"/>
        <item x="32"/>
        <item x="13"/>
        <item x="63"/>
        <item x="6"/>
        <item x="9"/>
        <item x="28"/>
        <item x="41"/>
        <item x="53"/>
        <item x="31"/>
        <item x="14"/>
        <item x="45"/>
        <item x="1"/>
        <item x="19"/>
        <item x="4"/>
        <item x="57"/>
        <item x="7"/>
        <item x="42"/>
        <item x="68"/>
        <item x="47"/>
        <item x="52"/>
        <item x="64"/>
        <item x="51"/>
        <item x="49"/>
        <item x="17"/>
        <item x="54"/>
        <item x="12"/>
        <item x="50"/>
        <item x="25"/>
        <item x="43"/>
        <item x="39"/>
        <item x="33"/>
        <item x="67"/>
        <item x="29"/>
        <item x="23"/>
        <item x="59"/>
        <item x="40"/>
        <item x="38"/>
        <item x="62"/>
        <item x="58"/>
        <item x="48"/>
        <item x="2"/>
        <item x="44"/>
        <item x="37"/>
        <item x="16"/>
        <item x="24"/>
        <item x="65"/>
        <item x="22"/>
        <item x="10"/>
        <item x="15"/>
        <item x="18"/>
        <item x="0"/>
        <item x="26"/>
        <item t="default"/>
      </items>
    </pivotField>
    <pivotField showAll="0"/>
    <pivotField showAll="0"/>
    <pivotField showAll="0"/>
    <pivotField showAll="0"/>
    <pivotField dataField="1" numFmtId="10" showAll="0">
      <items count="103">
        <item x="62"/>
        <item x="60"/>
        <item x="55"/>
        <item x="58"/>
        <item x="27"/>
        <item x="20"/>
        <item x="8"/>
        <item x="40"/>
        <item x="12"/>
        <item x="19"/>
        <item x="77"/>
        <item x="38"/>
        <item x="36"/>
        <item x="61"/>
        <item x="71"/>
        <item x="84"/>
        <item x="4"/>
        <item x="31"/>
        <item x="75"/>
        <item x="50"/>
        <item x="9"/>
        <item x="81"/>
        <item x="29"/>
        <item x="64"/>
        <item x="82"/>
        <item x="59"/>
        <item x="28"/>
        <item x="35"/>
        <item x="41"/>
        <item x="78"/>
        <item x="85"/>
        <item x="1"/>
        <item x="90"/>
        <item x="67"/>
        <item x="51"/>
        <item x="45"/>
        <item x="15"/>
        <item x="16"/>
        <item x="63"/>
        <item x="93"/>
        <item x="47"/>
        <item x="33"/>
        <item x="5"/>
        <item x="52"/>
        <item x="80"/>
        <item x="44"/>
        <item x="100"/>
        <item x="97"/>
        <item x="34"/>
        <item x="22"/>
        <item x="92"/>
        <item x="68"/>
        <item x="91"/>
        <item x="48"/>
        <item x="7"/>
        <item x="66"/>
        <item x="65"/>
        <item x="3"/>
        <item x="72"/>
        <item x="14"/>
        <item x="42"/>
        <item x="57"/>
        <item x="49"/>
        <item x="18"/>
        <item x="96"/>
        <item x="79"/>
        <item x="13"/>
        <item x="98"/>
        <item x="89"/>
        <item x="94"/>
        <item x="69"/>
        <item x="76"/>
        <item x="87"/>
        <item x="46"/>
        <item x="30"/>
        <item x="24"/>
        <item x="95"/>
        <item x="54"/>
        <item x="11"/>
        <item x="32"/>
        <item x="0"/>
        <item x="43"/>
        <item x="25"/>
        <item x="56"/>
        <item x="21"/>
        <item x="99"/>
        <item x="74"/>
        <item x="39"/>
        <item x="70"/>
        <item x="26"/>
        <item x="86"/>
        <item x="23"/>
        <item x="17"/>
        <item x="6"/>
        <item x="37"/>
        <item x="83"/>
        <item x="10"/>
        <item x="2"/>
        <item x="101"/>
        <item x="73"/>
        <item x="53"/>
        <item x="88"/>
        <item t="default"/>
      </items>
    </pivotField>
    <pivotField dataField="1" numFmtId="10" showAll="0"/>
  </pivotFields>
  <rowFields count="1">
    <field x="2"/>
  </rowFields>
  <rowItems count="9">
    <i>
      <x/>
    </i>
    <i>
      <x v="1"/>
    </i>
    <i>
      <x v="2"/>
    </i>
    <i>
      <x v="3"/>
    </i>
    <i>
      <x v="4"/>
    </i>
    <i>
      <x v="5"/>
    </i>
    <i>
      <x v="6"/>
    </i>
    <i>
      <x v="7"/>
    </i>
    <i t="grand">
      <x/>
    </i>
  </rowItems>
  <colFields count="1">
    <field x="-2"/>
  </colFields>
  <colItems count="2">
    <i>
      <x/>
    </i>
    <i i="1">
      <x v="1"/>
    </i>
  </colItems>
  <dataFields count="2">
    <dataField name="Target Hit % " fld="10" showDataAs="percentOfTotal" baseField="10" baseItem="0" numFmtId="10"/>
    <dataField name="Away From Target % " fld="11" showDataAs="percentOfTotal" baseField="0" baseItem="0" numFmtId="10"/>
  </dataFields>
  <formats count="7">
    <format dxfId="22">
      <pivotArea type="all" dataOnly="0" outline="0" fieldPosition="0"/>
    </format>
    <format dxfId="23">
      <pivotArea outline="0" collapsedLevelsAreSubtotals="1" fieldPosition="0"/>
    </format>
    <format dxfId="24">
      <pivotArea field="2" type="button" dataOnly="0" labelOnly="1" outline="0" axis="axisRow" fieldPosition="0"/>
    </format>
    <format dxfId="25">
      <pivotArea dataOnly="0" labelOnly="1" fieldPosition="0">
        <references count="1">
          <reference field="2" count="0"/>
        </references>
      </pivotArea>
    </format>
    <format dxfId="26">
      <pivotArea dataOnly="0" labelOnly="1" grandRow="1" outline="0" fieldPosition="0"/>
    </format>
    <format dxfId="27">
      <pivotArea dataOnly="0" labelOnly="1" outline="0" fieldPosition="0">
        <references count="1">
          <reference field="4294967294" count="2">
            <x v="0"/>
            <x v="1"/>
          </reference>
        </references>
      </pivotArea>
    </format>
    <format dxfId="28">
      <pivotArea outline="0" fieldPosition="0">
        <references count="1">
          <reference field="4294967294" count="1">
            <x v="0"/>
          </reference>
        </references>
      </pivotArea>
    </format>
  </formats>
  <chartFormats count="4">
    <chartFormat chart="6" format="0" series="1">
      <pivotArea type="data" outline="0" fieldPosition="0">
        <references count="1">
          <reference field="4294967294" count="1" selected="0">
            <x v="0"/>
          </reference>
        </references>
      </pivotArea>
    </chartFormat>
    <chartFormat chart="6" format="1"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F82CC78-FE7B-443E-8EDD-A1AE8D763A9F}" name="PivotTable5" cacheId="2"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4" rowHeaderCaption="Sales Executive">
  <location ref="G4:H9" firstHeaderRow="1" firstDataRow="1" firstDataCol="1"/>
  <pivotFields count="12">
    <pivotField showAll="0"/>
    <pivotField axis="axisRow" showAll="0" measureFilter="1" sortType="a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
    </i>
    <i>
      <x v="43"/>
    </i>
    <i>
      <x v="59"/>
    </i>
    <i>
      <x v="116"/>
    </i>
    <i>
      <x v="132"/>
    </i>
  </rowItems>
  <colItems count="1">
    <i/>
  </colItems>
  <dataFields count="1">
    <dataField name="Target Hit % wise" fld="10" baseField="0" baseItem="0" numFmtId="10"/>
  </dataFields>
  <chartFormats count="6">
    <chartFormat chart="1" format="0" series="1">
      <pivotArea type="data" outline="0" fieldPosition="0">
        <references count="1">
          <reference field="4294967294" count="1" selected="0">
            <x v="0"/>
          </reference>
        </references>
      </pivotArea>
    </chartFormat>
    <chartFormat chart="1" format="1">
      <pivotArea type="data" outline="0" fieldPosition="0">
        <references count="2">
          <reference field="4294967294" count="1" selected="0">
            <x v="0"/>
          </reference>
          <reference field="1" count="1" selected="0">
            <x v="79"/>
          </reference>
        </references>
      </pivotArea>
    </chartFormat>
    <chartFormat chart="1" format="2">
      <pivotArea type="data" outline="0" fieldPosition="0">
        <references count="2">
          <reference field="4294967294" count="1" selected="0">
            <x v="0"/>
          </reference>
          <reference field="1" count="1" selected="0">
            <x v="3"/>
          </reference>
        </references>
      </pivotArea>
    </chartFormat>
    <chartFormat chart="1" format="3">
      <pivotArea type="data" outline="0" fieldPosition="0">
        <references count="2">
          <reference field="4294967294" count="1" selected="0">
            <x v="0"/>
          </reference>
          <reference field="1" count="1" selected="0">
            <x v="15"/>
          </reference>
        </references>
      </pivotArea>
    </chartFormat>
    <chartFormat chart="1" format="4">
      <pivotArea type="data" outline="0" fieldPosition="0">
        <references count="2">
          <reference field="4294967294" count="1" selected="0">
            <x v="0"/>
          </reference>
          <reference field="1" count="1" selected="0">
            <x v="59"/>
          </reference>
        </references>
      </pivotArea>
    </chartFormat>
    <chartFormat chart="1" format="5">
      <pivotArea type="data" outline="0" fieldPosition="0">
        <references count="2">
          <reference field="4294967294" count="1" selected="0">
            <x v="0"/>
          </reference>
          <reference field="1" count="1" selected="0">
            <x v="31"/>
          </reference>
        </references>
      </pivotArea>
    </chartFormat>
  </chartFormats>
  <pivotTableStyleInfo name="PivotStyleMedium20"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7C34089-A55F-4E60-B403-B53F0BEABDA7}" name="PivotTable4" cacheId="2"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chartFormat="18" rowHeaderCaption="Sales Executive">
  <location ref="D4:E9" firstHeaderRow="1" firstDataRow="1" firstDataCol="1"/>
  <pivotFields count="12">
    <pivotField showAll="0"/>
    <pivotField axis="axisRow" showAll="0" measureFilter="1" sortType="de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autoSortScope>
        <pivotArea dataOnly="0" outline="0" fieldPosition="0">
          <references count="1">
            <reference field="4294967294" count="1" selected="0">
              <x v="0"/>
            </reference>
          </references>
        </pivotArea>
      </autoSortScope>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92"/>
    </i>
    <i>
      <x v="19"/>
    </i>
    <i>
      <x v="108"/>
    </i>
    <i>
      <x v="100"/>
    </i>
    <i>
      <x v="35"/>
    </i>
  </rowItems>
  <colItems count="1">
    <i/>
  </colItems>
  <dataFields count="1">
    <dataField name="Bottom Sales " fld="8" baseField="0" baseItem="0"/>
  </dataFields>
  <chartFormats count="1">
    <chartFormat chart="11" format="0" series="1">
      <pivotArea type="data" outline="0" fieldPosition="0">
        <references count="1">
          <reference field="4294967294" count="1" selected="0">
            <x v="0"/>
          </reference>
        </references>
      </pivotArea>
    </chartFormat>
  </chartFormats>
  <pivotTableStyleInfo name="PivotStyleMedium19"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D6D5F3E-0FCD-44E1-BE9C-EE3E9BE965CC}" name="PivotTable1" cacheId="2"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8" rowHeaderCaption="Sales Executive">
  <location ref="A4:B9" firstHeaderRow="1" firstDataRow="1" firstDataCol="1"/>
  <pivotFields count="12">
    <pivotField showAll="0"/>
    <pivotField axis="axisRow" showAll="0" measureFilter="1" sortType="descending">
      <items count="142">
        <item x="1"/>
        <item x="3"/>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2"/>
        <item x="127"/>
        <item x="4"/>
        <item x="128"/>
        <item x="129"/>
        <item x="130"/>
        <item x="131"/>
        <item x="132"/>
        <item x="133"/>
        <item x="134"/>
        <item x="135"/>
        <item x="136"/>
        <item x="137"/>
        <item x="138"/>
        <item x="139"/>
        <item x="140"/>
        <item t="default"/>
      </items>
      <autoSortScope>
        <pivotArea dataOnly="0" outline="0" fieldPosition="0">
          <references count="1">
            <reference field="4294967294" count="1" selected="0">
              <x v="0"/>
            </reference>
          </references>
        </pivotArea>
      </autoSortScope>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81"/>
    </i>
    <i>
      <x v="8"/>
    </i>
    <i>
      <x v="24"/>
    </i>
    <i>
      <x v="97"/>
    </i>
    <i>
      <x v="139"/>
    </i>
  </rowItems>
  <colItems count="1">
    <i/>
  </colItems>
  <dataFields count="1">
    <dataField name="Top Sales " fld="8" baseField="0" baseItem="0"/>
  </dataFields>
  <chartFormats count="1">
    <chartFormat chart="2" format="0" series="1">
      <pivotArea type="data" outline="0" fieldPosition="0">
        <references count="1">
          <reference field="4294967294" count="1" selected="0">
            <x v="0"/>
          </reference>
        </references>
      </pivotArea>
    </chartFormat>
  </chartFormats>
  <pivotTableStyleInfo name="PivotStyleMedium19"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4677AD44-71CD-4326-BD06-2AFE6776C464}" name="PivotTable6" cacheId="2"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3" rowHeaderCaption="Sales Executive">
  <location ref="J4:K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9"/>
    </i>
    <i>
      <x v="35"/>
    </i>
    <i>
      <x v="92"/>
    </i>
    <i>
      <x v="100"/>
    </i>
    <i>
      <x v="108"/>
    </i>
  </rowItems>
  <colItems count="1">
    <i/>
  </colItems>
  <dataFields count="1">
    <dataField name="Away From Target % wise" fld="11" baseField="0" baseItem="0" numFmtId="10"/>
  </dataFields>
  <chartFormats count="1">
    <chartFormat chart="8" format="0" series="1">
      <pivotArea type="data" outline="0" fieldPosition="0">
        <references count="1">
          <reference field="4294967294" count="1" selected="0">
            <x v="0"/>
          </reference>
        </references>
      </pivotArea>
    </chartFormat>
  </chartFormats>
  <pivotTableStyleInfo name="PivotStyleMedium20"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49B13A43-1651-4A33-B468-5D0529E06E48}" sourceName="Region">
  <pivotTables>
    <pivotTable tabId="2" name="PivotTable4"/>
    <pivotTable tabId="2" name="PivotTable5"/>
    <pivotTable tabId="2" name="PivotTable6"/>
    <pivotTable tabId="2" name="PivotTable1"/>
  </pivotTables>
  <data>
    <tabular pivotCacheId="1345401823">
      <items count="8">
        <i x="3" s="1"/>
        <i x="1"/>
        <i x="0"/>
        <i x="2"/>
        <i x="5"/>
        <i x="4"/>
        <i x="6"/>
        <i x="7"/>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732ACA40-46C8-402F-8076-0F9EE319B87D}" sourceName="Region">
  <pivotTables>
    <pivotTable tabId="3" name="PivotTable4"/>
    <pivotTable tabId="3" name="PivotTable1"/>
    <pivotTable tabId="3" name="PivotTable2"/>
  </pivotTables>
  <data>
    <tabular pivotCacheId="1345401823">
      <items count="8">
        <i x="3" s="1"/>
        <i x="1" s="1"/>
        <i x="0" s="1"/>
        <i x="2" s="1"/>
        <i x="5" s="1"/>
        <i x="4" s="1"/>
        <i x="6" s="1"/>
        <i x="7"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6C2ABC3F-DCFB-485F-851E-7028E45419B2}" cache="Slicer_Region" caption="Region" columnCount="8" showCaption="0" style="Slicer Style 1" rowHeight="252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2" xr10:uid="{2E3119DE-0FE7-4D05-8BB4-89114E3EC125}" cache="Slicer_Region1" caption="Region" columnCount="8" showCaption="0" style="Slicer Style 1" rowHeight="288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6.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5.xml"/><Relationship Id="rId1" Type="http://schemas.openxmlformats.org/officeDocument/2006/relationships/pivotTable" Target="../pivotTables/pivotTable4.xml"/><Relationship Id="rId6" Type="http://schemas.openxmlformats.org/officeDocument/2006/relationships/drawing" Target="../drawings/drawing3.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7.xml"/><Relationship Id="rId9"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5B2E2-7019-4B43-8E01-CCE58F036257}">
  <sheetPr codeName="Sheet2"/>
  <dimension ref="A1:Q143"/>
  <sheetViews>
    <sheetView zoomScaleNormal="100" workbookViewId="0">
      <selection activeCell="I3" sqref="I3"/>
    </sheetView>
  </sheetViews>
  <sheetFormatPr defaultRowHeight="15" x14ac:dyDescent="0.25"/>
  <cols>
    <col min="1" max="1" width="11.42578125" bestFit="1" customWidth="1"/>
    <col min="2" max="2" width="20.28515625" customWidth="1"/>
    <col min="3" max="3" width="10.7109375" customWidth="1"/>
    <col min="4" max="4" width="8" customWidth="1"/>
    <col min="5" max="8" width="5" bestFit="1" customWidth="1"/>
    <col min="9" max="9" width="9.28515625" bestFit="1" customWidth="1"/>
    <col min="10" max="10" width="6" bestFit="1" customWidth="1"/>
    <col min="11" max="11" width="10.5703125" bestFit="1" customWidth="1"/>
    <col min="12" max="12" width="17.28515625" bestFit="1" customWidth="1"/>
  </cols>
  <sheetData>
    <row r="1" spans="1:17" ht="24" customHeight="1" x14ac:dyDescent="0.25"/>
    <row r="2" spans="1:17" x14ac:dyDescent="0.25">
      <c r="A2" s="1" t="s">
        <v>0</v>
      </c>
      <c r="B2" s="1" t="s">
        <v>1</v>
      </c>
      <c r="C2" s="1" t="s">
        <v>2</v>
      </c>
      <c r="D2" s="1" t="s">
        <v>3</v>
      </c>
      <c r="E2" s="1" t="s">
        <v>4</v>
      </c>
      <c r="F2" s="1" t="s">
        <v>5</v>
      </c>
      <c r="G2" s="1" t="s">
        <v>6</v>
      </c>
      <c r="H2" s="1" t="s">
        <v>7</v>
      </c>
      <c r="I2" s="1" t="s">
        <v>8</v>
      </c>
      <c r="J2" s="1" t="s">
        <v>9</v>
      </c>
      <c r="K2" s="1" t="s">
        <v>10</v>
      </c>
      <c r="L2" s="1" t="s">
        <v>11</v>
      </c>
    </row>
    <row r="3" spans="1:17" x14ac:dyDescent="0.25">
      <c r="A3" s="2" t="s">
        <v>12</v>
      </c>
      <c r="B3" s="3" t="s">
        <v>13</v>
      </c>
      <c r="C3" s="3" t="s">
        <v>14</v>
      </c>
      <c r="D3" s="4">
        <v>49</v>
      </c>
      <c r="E3" s="4">
        <v>84</v>
      </c>
      <c r="F3" s="4">
        <v>98</v>
      </c>
      <c r="G3" s="4">
        <v>67</v>
      </c>
      <c r="H3" s="4">
        <v>41</v>
      </c>
      <c r="I3" s="5">
        <f>SUM(D3:H3)</f>
        <v>339</v>
      </c>
      <c r="J3" s="5">
        <v>500</v>
      </c>
      <c r="K3" s="6">
        <f>I3/J3</f>
        <v>0.67800000000000005</v>
      </c>
      <c r="L3" s="7">
        <f>100%-K3</f>
        <v>0.32199999999999995</v>
      </c>
      <c r="P3" t="s">
        <v>307</v>
      </c>
      <c r="Q3">
        <f>SUM(I3:I143)</f>
        <v>38945</v>
      </c>
    </row>
    <row r="4" spans="1:17" x14ac:dyDescent="0.25">
      <c r="A4" s="2" t="s">
        <v>15</v>
      </c>
      <c r="B4" s="3" t="s">
        <v>16</v>
      </c>
      <c r="C4" s="3" t="s">
        <v>17</v>
      </c>
      <c r="D4" s="4">
        <v>44</v>
      </c>
      <c r="E4" s="4">
        <v>85</v>
      </c>
      <c r="F4" s="4">
        <v>47</v>
      </c>
      <c r="G4" s="4">
        <v>15</v>
      </c>
      <c r="H4" s="4">
        <v>48</v>
      </c>
      <c r="I4" s="5">
        <f t="shared" ref="I4:I67" si="0">SUM(D4:H4)</f>
        <v>239</v>
      </c>
      <c r="J4" s="5">
        <v>500</v>
      </c>
      <c r="K4" s="6">
        <f t="shared" ref="K4:K67" si="1">I4/J4</f>
        <v>0.47799999999999998</v>
      </c>
      <c r="L4" s="7">
        <f t="shared" ref="L4:L67" si="2">100%-K4</f>
        <v>0.52200000000000002</v>
      </c>
      <c r="P4" t="s">
        <v>308</v>
      </c>
      <c r="Q4">
        <f>AVERAGE(D3:H143)</f>
        <v>55.241134751773046</v>
      </c>
    </row>
    <row r="5" spans="1:17" x14ac:dyDescent="0.25">
      <c r="A5" s="2" t="s">
        <v>18</v>
      </c>
      <c r="B5" s="3" t="s">
        <v>19</v>
      </c>
      <c r="C5" s="3" t="s">
        <v>20</v>
      </c>
      <c r="D5" s="4">
        <v>45</v>
      </c>
      <c r="E5" s="4">
        <v>79</v>
      </c>
      <c r="F5" s="4">
        <v>88</v>
      </c>
      <c r="G5" s="4">
        <v>73</v>
      </c>
      <c r="H5" s="4">
        <v>94</v>
      </c>
      <c r="I5" s="5">
        <f t="shared" si="0"/>
        <v>379</v>
      </c>
      <c r="J5" s="5">
        <v>500</v>
      </c>
      <c r="K5" s="6">
        <f t="shared" si="1"/>
        <v>0.75800000000000001</v>
      </c>
      <c r="L5" s="7">
        <f t="shared" si="2"/>
        <v>0.24199999999999999</v>
      </c>
      <c r="P5" t="s">
        <v>309</v>
      </c>
      <c r="Q5">
        <f>MAX(D3:H143)</f>
        <v>99</v>
      </c>
    </row>
    <row r="6" spans="1:17" x14ac:dyDescent="0.25">
      <c r="A6" s="2" t="s">
        <v>21</v>
      </c>
      <c r="B6" s="3" t="s">
        <v>22</v>
      </c>
      <c r="C6" s="3" t="s">
        <v>23</v>
      </c>
      <c r="D6" s="4">
        <v>52</v>
      </c>
      <c r="E6" s="4">
        <v>99</v>
      </c>
      <c r="F6" s="4">
        <v>13</v>
      </c>
      <c r="G6" s="4">
        <v>95</v>
      </c>
      <c r="H6" s="4">
        <v>29</v>
      </c>
      <c r="I6" s="5">
        <f t="shared" si="0"/>
        <v>288</v>
      </c>
      <c r="J6" s="5">
        <v>500</v>
      </c>
      <c r="K6" s="6">
        <f t="shared" si="1"/>
        <v>0.57599999999999996</v>
      </c>
      <c r="L6" s="7">
        <f t="shared" si="2"/>
        <v>0.42400000000000004</v>
      </c>
      <c r="P6" t="s">
        <v>310</v>
      </c>
      <c r="Q6">
        <f>MIN(D3:H143)</f>
        <v>10</v>
      </c>
    </row>
    <row r="7" spans="1:17" x14ac:dyDescent="0.25">
      <c r="A7" s="2" t="s">
        <v>24</v>
      </c>
      <c r="B7" s="3" t="s">
        <v>25</v>
      </c>
      <c r="C7" s="3" t="s">
        <v>26</v>
      </c>
      <c r="D7" s="4">
        <v>35</v>
      </c>
      <c r="E7" s="4">
        <v>54</v>
      </c>
      <c r="F7" s="4">
        <v>49</v>
      </c>
      <c r="G7" s="4">
        <v>26</v>
      </c>
      <c r="H7" s="4">
        <v>49</v>
      </c>
      <c r="I7" s="5">
        <f t="shared" si="0"/>
        <v>213</v>
      </c>
      <c r="J7" s="5">
        <v>500</v>
      </c>
      <c r="K7" s="6">
        <f t="shared" si="1"/>
        <v>0.42599999999999999</v>
      </c>
      <c r="L7" s="7">
        <f t="shared" si="2"/>
        <v>0.57400000000000007</v>
      </c>
    </row>
    <row r="8" spans="1:17" x14ac:dyDescent="0.25">
      <c r="A8" s="2" t="s">
        <v>27</v>
      </c>
      <c r="B8" s="3" t="s">
        <v>28</v>
      </c>
      <c r="C8" s="3" t="s">
        <v>29</v>
      </c>
      <c r="D8" s="4">
        <v>86</v>
      </c>
      <c r="E8" s="4">
        <v>31</v>
      </c>
      <c r="F8" s="4">
        <v>23</v>
      </c>
      <c r="G8" s="4">
        <v>48</v>
      </c>
      <c r="H8" s="4">
        <v>77</v>
      </c>
      <c r="I8" s="5">
        <f t="shared" si="0"/>
        <v>265</v>
      </c>
      <c r="J8" s="5">
        <v>500</v>
      </c>
      <c r="K8" s="6">
        <f t="shared" si="1"/>
        <v>0.53</v>
      </c>
      <c r="L8" s="7">
        <f t="shared" si="2"/>
        <v>0.47</v>
      </c>
    </row>
    <row r="9" spans="1:17" x14ac:dyDescent="0.25">
      <c r="A9" s="2" t="s">
        <v>30</v>
      </c>
      <c r="B9" s="3" t="s">
        <v>31</v>
      </c>
      <c r="C9" s="3" t="s">
        <v>32</v>
      </c>
      <c r="D9" s="4">
        <v>84</v>
      </c>
      <c r="E9" s="4">
        <v>28</v>
      </c>
      <c r="F9" s="4">
        <v>98</v>
      </c>
      <c r="G9" s="4">
        <v>80</v>
      </c>
      <c r="H9" s="4">
        <v>79</v>
      </c>
      <c r="I9" s="5">
        <f t="shared" si="0"/>
        <v>369</v>
      </c>
      <c r="J9" s="5">
        <v>500</v>
      </c>
      <c r="K9" s="6">
        <f t="shared" si="1"/>
        <v>0.73799999999999999</v>
      </c>
      <c r="L9" s="7">
        <f t="shared" si="2"/>
        <v>0.26200000000000001</v>
      </c>
    </row>
    <row r="10" spans="1:17" x14ac:dyDescent="0.25">
      <c r="A10" s="2" t="s">
        <v>33</v>
      </c>
      <c r="B10" s="3" t="s">
        <v>34</v>
      </c>
      <c r="C10" s="3" t="s">
        <v>35</v>
      </c>
      <c r="D10" s="4">
        <v>73</v>
      </c>
      <c r="E10" s="4">
        <v>97</v>
      </c>
      <c r="F10" s="4">
        <v>38</v>
      </c>
      <c r="G10" s="4">
        <v>24</v>
      </c>
      <c r="H10" s="4">
        <v>53</v>
      </c>
      <c r="I10" s="5">
        <f t="shared" si="0"/>
        <v>285</v>
      </c>
      <c r="J10" s="5">
        <v>500</v>
      </c>
      <c r="K10" s="6">
        <f t="shared" si="1"/>
        <v>0.56999999999999995</v>
      </c>
      <c r="L10" s="7">
        <f t="shared" si="2"/>
        <v>0.43000000000000005</v>
      </c>
    </row>
    <row r="11" spans="1:17" x14ac:dyDescent="0.25">
      <c r="A11" s="2" t="s">
        <v>36</v>
      </c>
      <c r="B11" s="3" t="s">
        <v>37</v>
      </c>
      <c r="C11" s="3" t="s">
        <v>14</v>
      </c>
      <c r="D11" s="4">
        <v>54</v>
      </c>
      <c r="E11" s="4">
        <v>26</v>
      </c>
      <c r="F11" s="4">
        <v>53</v>
      </c>
      <c r="G11" s="4">
        <v>36</v>
      </c>
      <c r="H11" s="4">
        <v>20</v>
      </c>
      <c r="I11" s="5">
        <f t="shared" si="0"/>
        <v>189</v>
      </c>
      <c r="J11" s="5">
        <v>500</v>
      </c>
      <c r="K11" s="6">
        <f t="shared" si="1"/>
        <v>0.378</v>
      </c>
      <c r="L11" s="7">
        <f t="shared" si="2"/>
        <v>0.622</v>
      </c>
    </row>
    <row r="12" spans="1:17" x14ac:dyDescent="0.25">
      <c r="A12" s="2" t="s">
        <v>38</v>
      </c>
      <c r="B12" s="3" t="s">
        <v>39</v>
      </c>
      <c r="C12" s="3" t="s">
        <v>17</v>
      </c>
      <c r="D12" s="4">
        <v>52</v>
      </c>
      <c r="E12" s="4">
        <v>52</v>
      </c>
      <c r="F12" s="4">
        <v>19</v>
      </c>
      <c r="G12" s="4">
        <v>53</v>
      </c>
      <c r="H12" s="4">
        <v>37</v>
      </c>
      <c r="I12" s="5">
        <f t="shared" si="0"/>
        <v>213</v>
      </c>
      <c r="J12" s="5">
        <v>500</v>
      </c>
      <c r="K12" s="6">
        <f t="shared" si="1"/>
        <v>0.42599999999999999</v>
      </c>
      <c r="L12" s="7">
        <f t="shared" si="2"/>
        <v>0.57400000000000007</v>
      </c>
    </row>
    <row r="13" spans="1:17" x14ac:dyDescent="0.25">
      <c r="A13" s="2" t="s">
        <v>40</v>
      </c>
      <c r="B13" s="3" t="s">
        <v>41</v>
      </c>
      <c r="C13" s="3" t="s">
        <v>20</v>
      </c>
      <c r="D13" s="4">
        <v>63</v>
      </c>
      <c r="E13" s="4">
        <v>17</v>
      </c>
      <c r="F13" s="4">
        <v>40</v>
      </c>
      <c r="G13" s="4">
        <v>48</v>
      </c>
      <c r="H13" s="4">
        <v>51</v>
      </c>
      <c r="I13" s="5">
        <f t="shared" si="0"/>
        <v>219</v>
      </c>
      <c r="J13" s="5">
        <v>500</v>
      </c>
      <c r="K13" s="6">
        <f t="shared" si="1"/>
        <v>0.438</v>
      </c>
      <c r="L13" s="7">
        <f t="shared" si="2"/>
        <v>0.56200000000000006</v>
      </c>
    </row>
    <row r="14" spans="1:17" x14ac:dyDescent="0.25">
      <c r="A14" s="2" t="s">
        <v>42</v>
      </c>
      <c r="B14" s="3" t="s">
        <v>43</v>
      </c>
      <c r="C14" s="3" t="s">
        <v>23</v>
      </c>
      <c r="D14" s="4">
        <v>79</v>
      </c>
      <c r="E14" s="4">
        <v>99</v>
      </c>
      <c r="F14" s="4">
        <v>95</v>
      </c>
      <c r="G14" s="4">
        <v>12</v>
      </c>
      <c r="H14" s="4">
        <v>91</v>
      </c>
      <c r="I14" s="5">
        <f t="shared" si="0"/>
        <v>376</v>
      </c>
      <c r="J14" s="5">
        <v>500</v>
      </c>
      <c r="K14" s="6">
        <f t="shared" si="1"/>
        <v>0.752</v>
      </c>
      <c r="L14" s="7">
        <f t="shared" si="2"/>
        <v>0.248</v>
      </c>
    </row>
    <row r="15" spans="1:17" x14ac:dyDescent="0.25">
      <c r="A15" s="2" t="s">
        <v>44</v>
      </c>
      <c r="B15" s="3" t="s">
        <v>45</v>
      </c>
      <c r="C15" s="3" t="s">
        <v>26</v>
      </c>
      <c r="D15" s="8">
        <v>95</v>
      </c>
      <c r="E15" s="4">
        <v>88</v>
      </c>
      <c r="F15" s="4">
        <v>11</v>
      </c>
      <c r="G15" s="4">
        <v>78</v>
      </c>
      <c r="H15" s="4">
        <v>60</v>
      </c>
      <c r="I15" s="5">
        <f t="shared" si="0"/>
        <v>332</v>
      </c>
      <c r="J15" s="5">
        <v>500</v>
      </c>
      <c r="K15" s="6">
        <f t="shared" si="1"/>
        <v>0.66400000000000003</v>
      </c>
      <c r="L15" s="7">
        <f t="shared" si="2"/>
        <v>0.33599999999999997</v>
      </c>
    </row>
    <row r="16" spans="1:17" x14ac:dyDescent="0.25">
      <c r="A16" s="2" t="s">
        <v>46</v>
      </c>
      <c r="B16" s="3" t="s">
        <v>47</v>
      </c>
      <c r="C16" s="3" t="s">
        <v>29</v>
      </c>
      <c r="D16" s="4">
        <v>83</v>
      </c>
      <c r="E16" s="4">
        <v>77</v>
      </c>
      <c r="F16" s="4">
        <v>66</v>
      </c>
      <c r="G16" s="4">
        <v>22</v>
      </c>
      <c r="H16" s="4">
        <v>40</v>
      </c>
      <c r="I16" s="5">
        <f t="shared" si="0"/>
        <v>288</v>
      </c>
      <c r="J16" s="5">
        <v>500</v>
      </c>
      <c r="K16" s="6">
        <f t="shared" si="1"/>
        <v>0.57599999999999996</v>
      </c>
      <c r="L16" s="7">
        <f t="shared" si="2"/>
        <v>0.42400000000000004</v>
      </c>
    </row>
    <row r="17" spans="1:12" x14ac:dyDescent="0.25">
      <c r="A17" s="2" t="s">
        <v>48</v>
      </c>
      <c r="B17" s="3" t="s">
        <v>49</v>
      </c>
      <c r="C17" s="3" t="s">
        <v>32</v>
      </c>
      <c r="D17" s="4">
        <v>78</v>
      </c>
      <c r="E17" s="4">
        <v>58</v>
      </c>
      <c r="F17" s="4">
        <v>34</v>
      </c>
      <c r="G17" s="4">
        <v>84</v>
      </c>
      <c r="H17" s="4">
        <v>31</v>
      </c>
      <c r="I17" s="5">
        <f t="shared" si="0"/>
        <v>285</v>
      </c>
      <c r="J17" s="5">
        <v>500</v>
      </c>
      <c r="K17" s="6">
        <f t="shared" si="1"/>
        <v>0.56999999999999995</v>
      </c>
      <c r="L17" s="7">
        <f t="shared" si="2"/>
        <v>0.43000000000000005</v>
      </c>
    </row>
    <row r="18" spans="1:12" x14ac:dyDescent="0.25">
      <c r="A18" s="2" t="s">
        <v>50</v>
      </c>
      <c r="B18" s="3" t="s">
        <v>51</v>
      </c>
      <c r="C18" s="3" t="s">
        <v>35</v>
      </c>
      <c r="D18" s="4">
        <v>14</v>
      </c>
      <c r="E18" s="4">
        <v>25</v>
      </c>
      <c r="F18" s="4">
        <v>45</v>
      </c>
      <c r="G18" s="4">
        <v>70</v>
      </c>
      <c r="H18" s="4">
        <v>45</v>
      </c>
      <c r="I18" s="5">
        <f t="shared" si="0"/>
        <v>199</v>
      </c>
      <c r="J18" s="5">
        <v>500</v>
      </c>
      <c r="K18" s="6">
        <f t="shared" si="1"/>
        <v>0.39800000000000002</v>
      </c>
      <c r="L18" s="7">
        <f t="shared" si="2"/>
        <v>0.60199999999999998</v>
      </c>
    </row>
    <row r="19" spans="1:12" x14ac:dyDescent="0.25">
      <c r="A19" s="2" t="s">
        <v>52</v>
      </c>
      <c r="B19" s="3" t="s">
        <v>53</v>
      </c>
      <c r="C19" s="3" t="s">
        <v>14</v>
      </c>
      <c r="D19" s="4">
        <v>37</v>
      </c>
      <c r="E19" s="4">
        <v>69</v>
      </c>
      <c r="F19" s="4">
        <v>96</v>
      </c>
      <c r="G19" s="4">
        <v>66</v>
      </c>
      <c r="H19" s="4">
        <v>38</v>
      </c>
      <c r="I19" s="5">
        <f t="shared" si="0"/>
        <v>306</v>
      </c>
      <c r="J19" s="5">
        <v>500</v>
      </c>
      <c r="K19" s="6">
        <f t="shared" si="1"/>
        <v>0.61199999999999999</v>
      </c>
      <c r="L19" s="7">
        <f t="shared" si="2"/>
        <v>0.38800000000000001</v>
      </c>
    </row>
    <row r="20" spans="1:12" x14ac:dyDescent="0.25">
      <c r="A20" s="2" t="s">
        <v>54</v>
      </c>
      <c r="B20" s="3" t="s">
        <v>55</v>
      </c>
      <c r="C20" s="3" t="s">
        <v>17</v>
      </c>
      <c r="D20" s="4">
        <v>11</v>
      </c>
      <c r="E20" s="4">
        <v>46</v>
      </c>
      <c r="F20" s="4">
        <v>91</v>
      </c>
      <c r="G20" s="4">
        <v>98</v>
      </c>
      <c r="H20" s="4">
        <v>45</v>
      </c>
      <c r="I20" s="5">
        <f t="shared" si="0"/>
        <v>291</v>
      </c>
      <c r="J20" s="5">
        <v>500</v>
      </c>
      <c r="K20" s="6">
        <f t="shared" si="1"/>
        <v>0.58199999999999996</v>
      </c>
      <c r="L20" s="7">
        <f t="shared" si="2"/>
        <v>0.41800000000000004</v>
      </c>
    </row>
    <row r="21" spans="1:12" x14ac:dyDescent="0.25">
      <c r="A21" s="2" t="s">
        <v>56</v>
      </c>
      <c r="B21" s="3" t="s">
        <v>57</v>
      </c>
      <c r="C21" s="3" t="s">
        <v>20</v>
      </c>
      <c r="D21" s="4">
        <v>19</v>
      </c>
      <c r="E21" s="4">
        <v>34</v>
      </c>
      <c r="F21" s="4">
        <v>64</v>
      </c>
      <c r="G21" s="4">
        <v>65</v>
      </c>
      <c r="H21" s="4">
        <v>70</v>
      </c>
      <c r="I21" s="5">
        <f t="shared" si="0"/>
        <v>252</v>
      </c>
      <c r="J21" s="5">
        <v>500</v>
      </c>
      <c r="K21" s="6">
        <f t="shared" si="1"/>
        <v>0.504</v>
      </c>
      <c r="L21" s="7">
        <f t="shared" si="2"/>
        <v>0.496</v>
      </c>
    </row>
    <row r="22" spans="1:12" x14ac:dyDescent="0.25">
      <c r="A22" s="2" t="s">
        <v>58</v>
      </c>
      <c r="B22" s="3" t="s">
        <v>59</v>
      </c>
      <c r="C22" s="3" t="s">
        <v>23</v>
      </c>
      <c r="D22" s="4">
        <v>93</v>
      </c>
      <c r="E22" s="4">
        <v>84</v>
      </c>
      <c r="F22" s="4">
        <v>13</v>
      </c>
      <c r="G22" s="4">
        <v>45</v>
      </c>
      <c r="H22" s="4">
        <v>18</v>
      </c>
      <c r="I22" s="5">
        <f t="shared" si="0"/>
        <v>253</v>
      </c>
      <c r="J22" s="5">
        <v>500</v>
      </c>
      <c r="K22" s="6">
        <f t="shared" si="1"/>
        <v>0.50600000000000001</v>
      </c>
      <c r="L22" s="7">
        <f t="shared" si="2"/>
        <v>0.49399999999999999</v>
      </c>
    </row>
    <row r="23" spans="1:12" x14ac:dyDescent="0.25">
      <c r="A23" s="2" t="s">
        <v>60</v>
      </c>
      <c r="B23" s="3" t="s">
        <v>61</v>
      </c>
      <c r="C23" s="3" t="s">
        <v>26</v>
      </c>
      <c r="D23" s="4">
        <v>68</v>
      </c>
      <c r="E23" s="4">
        <v>73</v>
      </c>
      <c r="F23" s="4">
        <v>97</v>
      </c>
      <c r="G23" s="4">
        <v>76</v>
      </c>
      <c r="H23" s="4">
        <v>53</v>
      </c>
      <c r="I23" s="5">
        <f t="shared" si="0"/>
        <v>367</v>
      </c>
      <c r="J23" s="5">
        <v>500</v>
      </c>
      <c r="K23" s="6">
        <f t="shared" si="1"/>
        <v>0.73399999999999999</v>
      </c>
      <c r="L23" s="7">
        <f t="shared" si="2"/>
        <v>0.26600000000000001</v>
      </c>
    </row>
    <row r="24" spans="1:12" x14ac:dyDescent="0.25">
      <c r="A24" s="2" t="s">
        <v>62</v>
      </c>
      <c r="B24" s="3" t="s">
        <v>63</v>
      </c>
      <c r="C24" s="3" t="s">
        <v>29</v>
      </c>
      <c r="D24" s="4">
        <v>99</v>
      </c>
      <c r="E24" s="4">
        <v>17</v>
      </c>
      <c r="F24" s="4">
        <v>48</v>
      </c>
      <c r="G24" s="4">
        <v>44</v>
      </c>
      <c r="H24" s="4">
        <v>93</v>
      </c>
      <c r="I24" s="5">
        <f t="shared" si="0"/>
        <v>301</v>
      </c>
      <c r="J24" s="5">
        <v>500</v>
      </c>
      <c r="K24" s="6">
        <f t="shared" si="1"/>
        <v>0.60199999999999998</v>
      </c>
      <c r="L24" s="7">
        <f t="shared" si="2"/>
        <v>0.39800000000000002</v>
      </c>
    </row>
    <row r="25" spans="1:12" x14ac:dyDescent="0.25">
      <c r="A25" s="2" t="s">
        <v>64</v>
      </c>
      <c r="B25" s="3" t="s">
        <v>65</v>
      </c>
      <c r="C25" s="3" t="s">
        <v>32</v>
      </c>
      <c r="D25" s="4">
        <v>57</v>
      </c>
      <c r="E25" s="4">
        <v>28</v>
      </c>
      <c r="F25" s="4">
        <v>31</v>
      </c>
      <c r="G25" s="4">
        <v>34</v>
      </c>
      <c r="H25" s="4">
        <v>52</v>
      </c>
      <c r="I25" s="5">
        <f t="shared" si="0"/>
        <v>202</v>
      </c>
      <c r="J25" s="5">
        <v>500</v>
      </c>
      <c r="K25" s="6">
        <f t="shared" si="1"/>
        <v>0.40400000000000003</v>
      </c>
      <c r="L25" s="7">
        <f t="shared" si="2"/>
        <v>0.59599999999999997</v>
      </c>
    </row>
    <row r="26" spans="1:12" x14ac:dyDescent="0.25">
      <c r="A26" s="2" t="s">
        <v>66</v>
      </c>
      <c r="B26" s="3" t="s">
        <v>67</v>
      </c>
      <c r="C26" s="3" t="s">
        <v>35</v>
      </c>
      <c r="D26" s="4">
        <v>40</v>
      </c>
      <c r="E26" s="4">
        <v>22</v>
      </c>
      <c r="F26" s="4">
        <v>18</v>
      </c>
      <c r="G26" s="4">
        <v>11</v>
      </c>
      <c r="H26" s="4">
        <v>92</v>
      </c>
      <c r="I26" s="5">
        <f t="shared" si="0"/>
        <v>183</v>
      </c>
      <c r="J26" s="5">
        <v>500</v>
      </c>
      <c r="K26" s="6">
        <f t="shared" si="1"/>
        <v>0.36599999999999999</v>
      </c>
      <c r="L26" s="7">
        <f t="shared" si="2"/>
        <v>0.63400000000000001</v>
      </c>
    </row>
    <row r="27" spans="1:12" x14ac:dyDescent="0.25">
      <c r="A27" s="2" t="s">
        <v>68</v>
      </c>
      <c r="B27" s="3" t="s">
        <v>69</v>
      </c>
      <c r="C27" s="3" t="s">
        <v>14</v>
      </c>
      <c r="D27" s="4">
        <v>47</v>
      </c>
      <c r="E27" s="4">
        <v>99</v>
      </c>
      <c r="F27" s="4">
        <v>94</v>
      </c>
      <c r="G27" s="4">
        <v>75</v>
      </c>
      <c r="H27" s="4">
        <v>29</v>
      </c>
      <c r="I27" s="5">
        <f t="shared" si="0"/>
        <v>344</v>
      </c>
      <c r="J27" s="5">
        <v>500</v>
      </c>
      <c r="K27" s="6">
        <f t="shared" si="1"/>
        <v>0.68799999999999994</v>
      </c>
      <c r="L27" s="7">
        <f t="shared" si="2"/>
        <v>0.31200000000000006</v>
      </c>
    </row>
    <row r="28" spans="1:12" x14ac:dyDescent="0.25">
      <c r="A28" s="2" t="s">
        <v>70</v>
      </c>
      <c r="B28" s="3" t="s">
        <v>71</v>
      </c>
      <c r="C28" s="3" t="s">
        <v>17</v>
      </c>
      <c r="D28" s="4">
        <v>16</v>
      </c>
      <c r="E28" s="4">
        <v>71</v>
      </c>
      <c r="F28" s="4">
        <v>80</v>
      </c>
      <c r="G28" s="4">
        <v>76</v>
      </c>
      <c r="H28" s="4">
        <v>33</v>
      </c>
      <c r="I28" s="5">
        <f t="shared" si="0"/>
        <v>276</v>
      </c>
      <c r="J28" s="5">
        <v>500</v>
      </c>
      <c r="K28" s="6">
        <f t="shared" si="1"/>
        <v>0.55200000000000005</v>
      </c>
      <c r="L28" s="7">
        <f t="shared" si="2"/>
        <v>0.44799999999999995</v>
      </c>
    </row>
    <row r="29" spans="1:12" x14ac:dyDescent="0.25">
      <c r="A29" s="2" t="s">
        <v>72</v>
      </c>
      <c r="B29" s="3" t="s">
        <v>73</v>
      </c>
      <c r="C29" s="3" t="s">
        <v>20</v>
      </c>
      <c r="D29" s="4">
        <v>72</v>
      </c>
      <c r="E29" s="4">
        <v>87</v>
      </c>
      <c r="F29" s="4">
        <v>92</v>
      </c>
      <c r="G29" s="4">
        <v>72</v>
      </c>
      <c r="H29" s="4">
        <v>34</v>
      </c>
      <c r="I29" s="5">
        <f t="shared" si="0"/>
        <v>357</v>
      </c>
      <c r="J29" s="5">
        <v>500</v>
      </c>
      <c r="K29" s="6">
        <f t="shared" si="1"/>
        <v>0.71399999999999997</v>
      </c>
      <c r="L29" s="7">
        <f t="shared" si="2"/>
        <v>0.28600000000000003</v>
      </c>
    </row>
    <row r="30" spans="1:12" x14ac:dyDescent="0.25">
      <c r="A30" s="2" t="s">
        <v>74</v>
      </c>
      <c r="B30" s="3" t="s">
        <v>75</v>
      </c>
      <c r="C30" s="3" t="s">
        <v>23</v>
      </c>
      <c r="D30" s="4">
        <v>30</v>
      </c>
      <c r="E30" s="4">
        <v>38</v>
      </c>
      <c r="F30" s="4">
        <v>70</v>
      </c>
      <c r="G30" s="4">
        <v>89</v>
      </c>
      <c r="H30" s="4">
        <v>97</v>
      </c>
      <c r="I30" s="5">
        <f t="shared" si="0"/>
        <v>324</v>
      </c>
      <c r="J30" s="5">
        <v>500</v>
      </c>
      <c r="K30" s="6">
        <f t="shared" si="1"/>
        <v>0.64800000000000002</v>
      </c>
      <c r="L30" s="7">
        <f t="shared" si="2"/>
        <v>0.35199999999999998</v>
      </c>
    </row>
    <row r="31" spans="1:12" x14ac:dyDescent="0.25">
      <c r="A31" s="2" t="s">
        <v>76</v>
      </c>
      <c r="B31" s="3" t="s">
        <v>77</v>
      </c>
      <c r="C31" s="3" t="s">
        <v>26</v>
      </c>
      <c r="D31" s="4">
        <v>65</v>
      </c>
      <c r="E31" s="4">
        <v>90</v>
      </c>
      <c r="F31" s="4">
        <v>91</v>
      </c>
      <c r="G31" s="4">
        <v>85</v>
      </c>
      <c r="H31" s="4">
        <v>10</v>
      </c>
      <c r="I31" s="5">
        <f t="shared" si="0"/>
        <v>341</v>
      </c>
      <c r="J31" s="5">
        <v>500</v>
      </c>
      <c r="K31" s="6">
        <f t="shared" si="1"/>
        <v>0.68200000000000005</v>
      </c>
      <c r="L31" s="7">
        <f t="shared" si="2"/>
        <v>0.31799999999999995</v>
      </c>
    </row>
    <row r="32" spans="1:12" x14ac:dyDescent="0.25">
      <c r="A32" s="2" t="s">
        <v>78</v>
      </c>
      <c r="B32" s="3" t="s">
        <v>79</v>
      </c>
      <c r="C32" s="3" t="s">
        <v>29</v>
      </c>
      <c r="D32" s="4">
        <v>83</v>
      </c>
      <c r="E32" s="4">
        <v>46</v>
      </c>
      <c r="F32" s="4">
        <v>99</v>
      </c>
      <c r="G32" s="4">
        <v>36</v>
      </c>
      <c r="H32" s="4">
        <v>89</v>
      </c>
      <c r="I32" s="5">
        <f t="shared" si="0"/>
        <v>353</v>
      </c>
      <c r="J32" s="5">
        <v>500</v>
      </c>
      <c r="K32" s="6">
        <f t="shared" si="1"/>
        <v>0.70599999999999996</v>
      </c>
      <c r="L32" s="7">
        <f t="shared" si="2"/>
        <v>0.29400000000000004</v>
      </c>
    </row>
    <row r="33" spans="1:12" x14ac:dyDescent="0.25">
      <c r="A33" s="2" t="s">
        <v>80</v>
      </c>
      <c r="B33" s="3" t="s">
        <v>81</v>
      </c>
      <c r="C33" s="3" t="s">
        <v>32</v>
      </c>
      <c r="D33" s="4">
        <v>10</v>
      </c>
      <c r="E33" s="4">
        <v>66</v>
      </c>
      <c r="F33" s="4">
        <v>40</v>
      </c>
      <c r="G33" s="4">
        <v>22</v>
      </c>
      <c r="H33" s="4">
        <v>38</v>
      </c>
      <c r="I33" s="5">
        <f t="shared" si="0"/>
        <v>176</v>
      </c>
      <c r="J33" s="5">
        <v>500</v>
      </c>
      <c r="K33" s="6">
        <f t="shared" si="1"/>
        <v>0.35199999999999998</v>
      </c>
      <c r="L33" s="7">
        <f t="shared" si="2"/>
        <v>0.64800000000000002</v>
      </c>
    </row>
    <row r="34" spans="1:12" x14ac:dyDescent="0.25">
      <c r="A34" s="2" t="s">
        <v>82</v>
      </c>
      <c r="B34" s="3" t="s">
        <v>83</v>
      </c>
      <c r="C34" s="3" t="s">
        <v>35</v>
      </c>
      <c r="D34" s="4">
        <v>37</v>
      </c>
      <c r="E34" s="4">
        <v>30</v>
      </c>
      <c r="F34" s="4">
        <v>19</v>
      </c>
      <c r="G34" s="4">
        <v>77</v>
      </c>
      <c r="H34" s="4">
        <v>67</v>
      </c>
      <c r="I34" s="5">
        <f t="shared" si="0"/>
        <v>230</v>
      </c>
      <c r="J34" s="5">
        <v>500</v>
      </c>
      <c r="K34" s="6">
        <f t="shared" si="1"/>
        <v>0.46</v>
      </c>
      <c r="L34" s="7">
        <f t="shared" si="2"/>
        <v>0.54</v>
      </c>
    </row>
    <row r="35" spans="1:12" x14ac:dyDescent="0.25">
      <c r="A35" s="2" t="s">
        <v>84</v>
      </c>
      <c r="B35" s="3" t="s">
        <v>85</v>
      </c>
      <c r="C35" s="3" t="s">
        <v>14</v>
      </c>
      <c r="D35" s="4">
        <v>83</v>
      </c>
      <c r="E35" s="4">
        <v>46</v>
      </c>
      <c r="F35" s="4">
        <v>17</v>
      </c>
      <c r="G35" s="4">
        <v>94</v>
      </c>
      <c r="H35" s="4">
        <v>92</v>
      </c>
      <c r="I35" s="5">
        <f t="shared" si="0"/>
        <v>332</v>
      </c>
      <c r="J35" s="5">
        <v>500</v>
      </c>
      <c r="K35" s="6">
        <f t="shared" si="1"/>
        <v>0.66400000000000003</v>
      </c>
      <c r="L35" s="7">
        <f t="shared" si="2"/>
        <v>0.33599999999999997</v>
      </c>
    </row>
    <row r="36" spans="1:12" x14ac:dyDescent="0.25">
      <c r="A36" s="2" t="s">
        <v>86</v>
      </c>
      <c r="B36" s="3" t="s">
        <v>87</v>
      </c>
      <c r="C36" s="3" t="s">
        <v>17</v>
      </c>
      <c r="D36" s="4">
        <v>84</v>
      </c>
      <c r="E36" s="4">
        <v>59</v>
      </c>
      <c r="F36" s="4">
        <v>41</v>
      </c>
      <c r="G36" s="4">
        <v>17</v>
      </c>
      <c r="H36" s="4">
        <v>22</v>
      </c>
      <c r="I36" s="5">
        <f t="shared" si="0"/>
        <v>223</v>
      </c>
      <c r="J36" s="5">
        <v>500</v>
      </c>
      <c r="K36" s="6">
        <f t="shared" si="1"/>
        <v>0.44600000000000001</v>
      </c>
      <c r="L36" s="7">
        <f t="shared" si="2"/>
        <v>0.55400000000000005</v>
      </c>
    </row>
    <row r="37" spans="1:12" x14ac:dyDescent="0.25">
      <c r="A37" s="2" t="s">
        <v>88</v>
      </c>
      <c r="B37" s="3" t="s">
        <v>89</v>
      </c>
      <c r="C37" s="3" t="s">
        <v>20</v>
      </c>
      <c r="D37" s="4">
        <v>82</v>
      </c>
      <c r="E37" s="4">
        <v>54</v>
      </c>
      <c r="F37" s="4">
        <v>79</v>
      </c>
      <c r="G37" s="4">
        <v>61</v>
      </c>
      <c r="H37" s="4">
        <v>47</v>
      </c>
      <c r="I37" s="5">
        <f t="shared" si="0"/>
        <v>323</v>
      </c>
      <c r="J37" s="5">
        <v>500</v>
      </c>
      <c r="K37" s="6">
        <f t="shared" si="1"/>
        <v>0.64600000000000002</v>
      </c>
      <c r="L37" s="7">
        <f t="shared" si="2"/>
        <v>0.35399999999999998</v>
      </c>
    </row>
    <row r="38" spans="1:12" x14ac:dyDescent="0.25">
      <c r="A38" s="2" t="s">
        <v>90</v>
      </c>
      <c r="B38" s="3" t="s">
        <v>91</v>
      </c>
      <c r="C38" s="3" t="s">
        <v>23</v>
      </c>
      <c r="D38" s="4">
        <v>47</v>
      </c>
      <c r="E38" s="4">
        <v>23</v>
      </c>
      <c r="F38" s="4">
        <v>19</v>
      </c>
      <c r="G38" s="4">
        <v>64</v>
      </c>
      <c r="H38" s="4">
        <v>61</v>
      </c>
      <c r="I38" s="5">
        <f t="shared" si="0"/>
        <v>214</v>
      </c>
      <c r="J38" s="5">
        <v>500</v>
      </c>
      <c r="K38" s="6">
        <f t="shared" si="1"/>
        <v>0.42799999999999999</v>
      </c>
      <c r="L38" s="7">
        <f t="shared" si="2"/>
        <v>0.57200000000000006</v>
      </c>
    </row>
    <row r="39" spans="1:12" x14ac:dyDescent="0.25">
      <c r="A39" s="2" t="s">
        <v>92</v>
      </c>
      <c r="B39" s="3" t="s">
        <v>93</v>
      </c>
      <c r="C39" s="3" t="s">
        <v>26</v>
      </c>
      <c r="D39" s="4">
        <v>91</v>
      </c>
      <c r="E39" s="4">
        <v>13</v>
      </c>
      <c r="F39" s="4">
        <v>79</v>
      </c>
      <c r="G39" s="4">
        <v>85</v>
      </c>
      <c r="H39" s="4">
        <v>67</v>
      </c>
      <c r="I39" s="5">
        <f t="shared" si="0"/>
        <v>335</v>
      </c>
      <c r="J39" s="5">
        <v>500</v>
      </c>
      <c r="K39" s="6">
        <f t="shared" si="1"/>
        <v>0.67</v>
      </c>
      <c r="L39" s="7">
        <f t="shared" si="2"/>
        <v>0.32999999999999996</v>
      </c>
    </row>
    <row r="40" spans="1:12" x14ac:dyDescent="0.25">
      <c r="A40" s="2" t="s">
        <v>94</v>
      </c>
      <c r="B40" s="3" t="s">
        <v>95</v>
      </c>
      <c r="C40" s="3" t="s">
        <v>29</v>
      </c>
      <c r="D40" s="4">
        <v>66</v>
      </c>
      <c r="E40" s="4">
        <v>59</v>
      </c>
      <c r="F40" s="4">
        <v>25</v>
      </c>
      <c r="G40" s="4">
        <v>55</v>
      </c>
      <c r="H40" s="4">
        <v>59</v>
      </c>
      <c r="I40" s="5">
        <f t="shared" si="0"/>
        <v>264</v>
      </c>
      <c r="J40" s="5">
        <v>500</v>
      </c>
      <c r="K40" s="6">
        <f t="shared" si="1"/>
        <v>0.52800000000000002</v>
      </c>
      <c r="L40" s="7">
        <f t="shared" si="2"/>
        <v>0.47199999999999998</v>
      </c>
    </row>
    <row r="41" spans="1:12" x14ac:dyDescent="0.25">
      <c r="A41" s="2" t="s">
        <v>96</v>
      </c>
      <c r="B41" s="3" t="s">
        <v>97</v>
      </c>
      <c r="C41" s="3" t="s">
        <v>32</v>
      </c>
      <c r="D41" s="4">
        <v>70</v>
      </c>
      <c r="E41" s="4">
        <v>18</v>
      </c>
      <c r="F41" s="4">
        <v>88</v>
      </c>
      <c r="G41" s="4">
        <v>46</v>
      </c>
      <c r="H41" s="4">
        <v>52</v>
      </c>
      <c r="I41" s="5">
        <f t="shared" si="0"/>
        <v>274</v>
      </c>
      <c r="J41" s="5">
        <v>500</v>
      </c>
      <c r="K41" s="6">
        <f t="shared" si="1"/>
        <v>0.54800000000000004</v>
      </c>
      <c r="L41" s="7">
        <f t="shared" si="2"/>
        <v>0.45199999999999996</v>
      </c>
    </row>
    <row r="42" spans="1:12" x14ac:dyDescent="0.25">
      <c r="A42" s="2" t="s">
        <v>98</v>
      </c>
      <c r="B42" s="3" t="s">
        <v>99</v>
      </c>
      <c r="C42" s="3" t="s">
        <v>35</v>
      </c>
      <c r="D42" s="4">
        <v>37</v>
      </c>
      <c r="E42" s="4">
        <v>60</v>
      </c>
      <c r="F42" s="4">
        <v>44</v>
      </c>
      <c r="G42" s="4">
        <v>61</v>
      </c>
      <c r="H42" s="4">
        <v>30</v>
      </c>
      <c r="I42" s="5">
        <f t="shared" si="0"/>
        <v>232</v>
      </c>
      <c r="J42" s="5">
        <v>500</v>
      </c>
      <c r="K42" s="6">
        <f t="shared" si="1"/>
        <v>0.46400000000000002</v>
      </c>
      <c r="L42" s="7">
        <f t="shared" si="2"/>
        <v>0.53600000000000003</v>
      </c>
    </row>
    <row r="43" spans="1:12" x14ac:dyDescent="0.25">
      <c r="A43" s="2" t="s">
        <v>100</v>
      </c>
      <c r="B43" s="3" t="s">
        <v>101</v>
      </c>
      <c r="C43" s="3" t="s">
        <v>14</v>
      </c>
      <c r="D43" s="4">
        <v>16</v>
      </c>
      <c r="E43" s="4">
        <v>46</v>
      </c>
      <c r="F43" s="4">
        <v>33</v>
      </c>
      <c r="G43" s="4">
        <v>54</v>
      </c>
      <c r="H43" s="4">
        <v>58</v>
      </c>
      <c r="I43" s="5">
        <f t="shared" si="0"/>
        <v>207</v>
      </c>
      <c r="J43" s="5">
        <v>500</v>
      </c>
      <c r="K43" s="6">
        <f t="shared" si="1"/>
        <v>0.41399999999999998</v>
      </c>
      <c r="L43" s="7">
        <f t="shared" si="2"/>
        <v>0.58600000000000008</v>
      </c>
    </row>
    <row r="44" spans="1:12" x14ac:dyDescent="0.25">
      <c r="A44" s="2" t="s">
        <v>102</v>
      </c>
      <c r="B44" s="3" t="s">
        <v>103</v>
      </c>
      <c r="C44" s="3" t="s">
        <v>17</v>
      </c>
      <c r="D44" s="4">
        <v>47</v>
      </c>
      <c r="E44" s="4">
        <v>97</v>
      </c>
      <c r="F44" s="4">
        <v>74</v>
      </c>
      <c r="G44" s="4">
        <v>97</v>
      </c>
      <c r="H44" s="4">
        <v>56</v>
      </c>
      <c r="I44" s="5">
        <f t="shared" si="0"/>
        <v>371</v>
      </c>
      <c r="J44" s="5">
        <v>500</v>
      </c>
      <c r="K44" s="6">
        <f t="shared" si="1"/>
        <v>0.74199999999999999</v>
      </c>
      <c r="L44" s="7">
        <f t="shared" si="2"/>
        <v>0.25800000000000001</v>
      </c>
    </row>
    <row r="45" spans="1:12" x14ac:dyDescent="0.25">
      <c r="A45" s="2" t="s">
        <v>104</v>
      </c>
      <c r="B45" s="3" t="s">
        <v>105</v>
      </c>
      <c r="C45" s="3" t="s">
        <v>20</v>
      </c>
      <c r="D45" s="4">
        <v>86</v>
      </c>
      <c r="E45" s="4">
        <v>22</v>
      </c>
      <c r="F45" s="4">
        <v>10</v>
      </c>
      <c r="G45" s="4">
        <v>60</v>
      </c>
      <c r="H45" s="4">
        <v>28</v>
      </c>
      <c r="I45" s="5">
        <f t="shared" si="0"/>
        <v>206</v>
      </c>
      <c r="J45" s="5">
        <v>500</v>
      </c>
      <c r="K45" s="6">
        <f t="shared" si="1"/>
        <v>0.41199999999999998</v>
      </c>
      <c r="L45" s="7">
        <f t="shared" si="2"/>
        <v>0.58800000000000008</v>
      </c>
    </row>
    <row r="46" spans="1:12" x14ac:dyDescent="0.25">
      <c r="A46" s="2" t="s">
        <v>106</v>
      </c>
      <c r="B46" s="3" t="s">
        <v>107</v>
      </c>
      <c r="C46" s="3" t="s">
        <v>23</v>
      </c>
      <c r="D46" s="4">
        <v>74</v>
      </c>
      <c r="E46" s="4">
        <v>17</v>
      </c>
      <c r="F46" s="4">
        <v>45</v>
      </c>
      <c r="G46" s="4">
        <v>64</v>
      </c>
      <c r="H46" s="4">
        <v>13</v>
      </c>
      <c r="I46" s="5">
        <f t="shared" si="0"/>
        <v>213</v>
      </c>
      <c r="J46" s="5">
        <v>500</v>
      </c>
      <c r="K46" s="6">
        <f t="shared" si="1"/>
        <v>0.42599999999999999</v>
      </c>
      <c r="L46" s="7">
        <f t="shared" si="2"/>
        <v>0.57400000000000007</v>
      </c>
    </row>
    <row r="47" spans="1:12" x14ac:dyDescent="0.25">
      <c r="A47" s="2" t="s">
        <v>108</v>
      </c>
      <c r="B47" s="3" t="s">
        <v>109</v>
      </c>
      <c r="C47" s="3" t="s">
        <v>26</v>
      </c>
      <c r="D47" s="4">
        <v>80</v>
      </c>
      <c r="E47" s="4">
        <v>51</v>
      </c>
      <c r="F47" s="4">
        <v>15</v>
      </c>
      <c r="G47" s="4">
        <v>97</v>
      </c>
      <c r="H47" s="4">
        <v>42</v>
      </c>
      <c r="I47" s="5">
        <f t="shared" si="0"/>
        <v>285</v>
      </c>
      <c r="J47" s="5">
        <v>500</v>
      </c>
      <c r="K47" s="6">
        <f t="shared" si="1"/>
        <v>0.56999999999999995</v>
      </c>
      <c r="L47" s="7">
        <f t="shared" si="2"/>
        <v>0.43000000000000005</v>
      </c>
    </row>
    <row r="48" spans="1:12" x14ac:dyDescent="0.25">
      <c r="A48" s="2" t="s">
        <v>110</v>
      </c>
      <c r="B48" s="3" t="s">
        <v>111</v>
      </c>
      <c r="C48" s="3" t="s">
        <v>29</v>
      </c>
      <c r="D48" s="4">
        <v>49</v>
      </c>
      <c r="E48" s="4">
        <v>82</v>
      </c>
      <c r="F48" s="4">
        <v>95</v>
      </c>
      <c r="G48" s="4">
        <v>46</v>
      </c>
      <c r="H48" s="4">
        <v>78</v>
      </c>
      <c r="I48" s="5">
        <f t="shared" si="0"/>
        <v>350</v>
      </c>
      <c r="J48" s="5">
        <v>500</v>
      </c>
      <c r="K48" s="6">
        <f t="shared" si="1"/>
        <v>0.7</v>
      </c>
      <c r="L48" s="7">
        <f t="shared" si="2"/>
        <v>0.30000000000000004</v>
      </c>
    </row>
    <row r="49" spans="1:12" x14ac:dyDescent="0.25">
      <c r="A49" s="2" t="s">
        <v>112</v>
      </c>
      <c r="B49" s="3" t="s">
        <v>113</v>
      </c>
      <c r="C49" s="3" t="s">
        <v>32</v>
      </c>
      <c r="D49" s="4">
        <v>17</v>
      </c>
      <c r="E49" s="4">
        <v>88</v>
      </c>
      <c r="F49" s="4">
        <v>12</v>
      </c>
      <c r="G49" s="4">
        <v>54</v>
      </c>
      <c r="H49" s="4">
        <v>21</v>
      </c>
      <c r="I49" s="5">
        <f t="shared" si="0"/>
        <v>192</v>
      </c>
      <c r="J49" s="5">
        <v>500</v>
      </c>
      <c r="K49" s="6">
        <f t="shared" si="1"/>
        <v>0.38400000000000001</v>
      </c>
      <c r="L49" s="7">
        <f t="shared" si="2"/>
        <v>0.61599999999999999</v>
      </c>
    </row>
    <row r="50" spans="1:12" x14ac:dyDescent="0.25">
      <c r="A50" s="2" t="s">
        <v>114</v>
      </c>
      <c r="B50" s="3" t="s">
        <v>115</v>
      </c>
      <c r="C50" s="3" t="s">
        <v>35</v>
      </c>
      <c r="D50" s="4">
        <v>74</v>
      </c>
      <c r="E50" s="4">
        <v>16</v>
      </c>
      <c r="F50" s="4">
        <v>74</v>
      </c>
      <c r="G50" s="4">
        <v>36</v>
      </c>
      <c r="H50" s="4">
        <v>33</v>
      </c>
      <c r="I50" s="5">
        <f t="shared" si="0"/>
        <v>233</v>
      </c>
      <c r="J50" s="5">
        <v>500</v>
      </c>
      <c r="K50" s="6">
        <f t="shared" si="1"/>
        <v>0.46600000000000003</v>
      </c>
      <c r="L50" s="7">
        <f t="shared" si="2"/>
        <v>0.53400000000000003</v>
      </c>
    </row>
    <row r="51" spans="1:12" x14ac:dyDescent="0.25">
      <c r="A51" s="2" t="s">
        <v>116</v>
      </c>
      <c r="B51" s="3" t="s">
        <v>117</v>
      </c>
      <c r="C51" s="3" t="s">
        <v>14</v>
      </c>
      <c r="D51" s="4">
        <v>73</v>
      </c>
      <c r="E51" s="4">
        <v>72</v>
      </c>
      <c r="F51" s="4">
        <v>38</v>
      </c>
      <c r="G51" s="4">
        <v>19</v>
      </c>
      <c r="H51" s="4">
        <v>90</v>
      </c>
      <c r="I51" s="5">
        <f t="shared" si="0"/>
        <v>292</v>
      </c>
      <c r="J51" s="5">
        <v>500</v>
      </c>
      <c r="K51" s="6">
        <f t="shared" si="1"/>
        <v>0.58399999999999996</v>
      </c>
      <c r="L51" s="7">
        <f t="shared" si="2"/>
        <v>0.41600000000000004</v>
      </c>
    </row>
    <row r="52" spans="1:12" x14ac:dyDescent="0.25">
      <c r="A52" s="2" t="s">
        <v>118</v>
      </c>
      <c r="B52" s="3" t="s">
        <v>119</v>
      </c>
      <c r="C52" s="3" t="s">
        <v>17</v>
      </c>
      <c r="D52" s="4">
        <v>17</v>
      </c>
      <c r="E52" s="4">
        <v>84</v>
      </c>
      <c r="F52" s="4">
        <v>90</v>
      </c>
      <c r="G52" s="4">
        <v>77</v>
      </c>
      <c r="H52" s="4">
        <v>72</v>
      </c>
      <c r="I52" s="5">
        <f t="shared" si="0"/>
        <v>340</v>
      </c>
      <c r="J52" s="5">
        <v>500</v>
      </c>
      <c r="K52" s="6">
        <f t="shared" si="1"/>
        <v>0.68</v>
      </c>
      <c r="L52" s="7">
        <f t="shared" si="2"/>
        <v>0.31999999999999995</v>
      </c>
    </row>
    <row r="53" spans="1:12" x14ac:dyDescent="0.25">
      <c r="A53" s="2" t="s">
        <v>120</v>
      </c>
      <c r="B53" s="3" t="s">
        <v>121</v>
      </c>
      <c r="C53" s="3" t="s">
        <v>20</v>
      </c>
      <c r="D53" s="4">
        <v>52</v>
      </c>
      <c r="E53" s="4">
        <v>36</v>
      </c>
      <c r="F53" s="4">
        <v>84</v>
      </c>
      <c r="G53" s="4">
        <v>41</v>
      </c>
      <c r="H53" s="4">
        <v>57</v>
      </c>
      <c r="I53" s="5">
        <f t="shared" si="0"/>
        <v>270</v>
      </c>
      <c r="J53" s="5">
        <v>500</v>
      </c>
      <c r="K53" s="6">
        <f t="shared" si="1"/>
        <v>0.54</v>
      </c>
      <c r="L53" s="7">
        <f t="shared" si="2"/>
        <v>0.45999999999999996</v>
      </c>
    </row>
    <row r="54" spans="1:12" x14ac:dyDescent="0.25">
      <c r="A54" s="2" t="s">
        <v>122</v>
      </c>
      <c r="B54" s="3" t="s">
        <v>123</v>
      </c>
      <c r="C54" s="3" t="s">
        <v>23</v>
      </c>
      <c r="D54" s="4">
        <v>65</v>
      </c>
      <c r="E54" s="4">
        <v>67</v>
      </c>
      <c r="F54" s="4">
        <v>72</v>
      </c>
      <c r="G54" s="4">
        <v>22</v>
      </c>
      <c r="H54" s="4">
        <v>23</v>
      </c>
      <c r="I54" s="5">
        <f t="shared" si="0"/>
        <v>249</v>
      </c>
      <c r="J54" s="5">
        <v>500</v>
      </c>
      <c r="K54" s="6">
        <f t="shared" si="1"/>
        <v>0.498</v>
      </c>
      <c r="L54" s="7">
        <f t="shared" si="2"/>
        <v>0.502</v>
      </c>
    </row>
    <row r="55" spans="1:12" x14ac:dyDescent="0.25">
      <c r="A55" s="2" t="s">
        <v>124</v>
      </c>
      <c r="B55" s="3" t="s">
        <v>125</v>
      </c>
      <c r="C55" s="3" t="s">
        <v>26</v>
      </c>
      <c r="D55" s="4">
        <v>88</v>
      </c>
      <c r="E55" s="4">
        <v>39</v>
      </c>
      <c r="F55" s="4">
        <v>25</v>
      </c>
      <c r="G55" s="4">
        <v>99</v>
      </c>
      <c r="H55" s="4">
        <v>71</v>
      </c>
      <c r="I55" s="5">
        <f t="shared" si="0"/>
        <v>322</v>
      </c>
      <c r="J55" s="5">
        <v>500</v>
      </c>
      <c r="K55" s="6">
        <f t="shared" si="1"/>
        <v>0.64400000000000002</v>
      </c>
      <c r="L55" s="7">
        <f t="shared" si="2"/>
        <v>0.35599999999999998</v>
      </c>
    </row>
    <row r="56" spans="1:12" x14ac:dyDescent="0.25">
      <c r="A56" s="2" t="s">
        <v>126</v>
      </c>
      <c r="B56" s="3" t="s">
        <v>127</v>
      </c>
      <c r="C56" s="3" t="s">
        <v>29</v>
      </c>
      <c r="D56" s="4">
        <v>23</v>
      </c>
      <c r="E56" s="4">
        <v>14</v>
      </c>
      <c r="F56" s="4">
        <v>15</v>
      </c>
      <c r="G56" s="4">
        <v>58</v>
      </c>
      <c r="H56" s="4">
        <v>79</v>
      </c>
      <c r="I56" s="5">
        <f t="shared" si="0"/>
        <v>189</v>
      </c>
      <c r="J56" s="5">
        <v>500</v>
      </c>
      <c r="K56" s="6">
        <f t="shared" si="1"/>
        <v>0.378</v>
      </c>
      <c r="L56" s="7">
        <f t="shared" si="2"/>
        <v>0.622</v>
      </c>
    </row>
    <row r="57" spans="1:12" x14ac:dyDescent="0.25">
      <c r="A57" s="2" t="s">
        <v>128</v>
      </c>
      <c r="B57" s="3" t="s">
        <v>129</v>
      </c>
      <c r="C57" s="3" t="s">
        <v>32</v>
      </c>
      <c r="D57" s="4">
        <v>15</v>
      </c>
      <c r="E57" s="4">
        <v>67</v>
      </c>
      <c r="F57" s="4">
        <v>48</v>
      </c>
      <c r="G57" s="4">
        <v>95</v>
      </c>
      <c r="H57" s="4">
        <v>35</v>
      </c>
      <c r="I57" s="5">
        <f t="shared" si="0"/>
        <v>260</v>
      </c>
      <c r="J57" s="5">
        <v>500</v>
      </c>
      <c r="K57" s="6">
        <f t="shared" si="1"/>
        <v>0.52</v>
      </c>
      <c r="L57" s="7">
        <f t="shared" si="2"/>
        <v>0.48</v>
      </c>
    </row>
    <row r="58" spans="1:12" x14ac:dyDescent="0.25">
      <c r="A58" s="2" t="s">
        <v>130</v>
      </c>
      <c r="B58" s="3" t="s">
        <v>131</v>
      </c>
      <c r="C58" s="3" t="s">
        <v>35</v>
      </c>
      <c r="D58" s="4">
        <v>18</v>
      </c>
      <c r="E58" s="4">
        <v>35</v>
      </c>
      <c r="F58" s="4">
        <v>82</v>
      </c>
      <c r="G58" s="4">
        <v>31</v>
      </c>
      <c r="H58" s="4">
        <v>26</v>
      </c>
      <c r="I58" s="5">
        <f t="shared" si="0"/>
        <v>192</v>
      </c>
      <c r="J58" s="5">
        <v>500</v>
      </c>
      <c r="K58" s="6">
        <f t="shared" si="1"/>
        <v>0.38400000000000001</v>
      </c>
      <c r="L58" s="7">
        <f t="shared" si="2"/>
        <v>0.61599999999999999</v>
      </c>
    </row>
    <row r="59" spans="1:12" x14ac:dyDescent="0.25">
      <c r="A59" s="2" t="s">
        <v>132</v>
      </c>
      <c r="B59" s="3" t="s">
        <v>133</v>
      </c>
      <c r="C59" s="3" t="s">
        <v>14</v>
      </c>
      <c r="D59" s="4">
        <v>57</v>
      </c>
      <c r="E59" s="4">
        <v>60</v>
      </c>
      <c r="F59" s="4">
        <v>42</v>
      </c>
      <c r="G59" s="4">
        <v>81</v>
      </c>
      <c r="H59" s="4">
        <v>44</v>
      </c>
      <c r="I59" s="5">
        <f t="shared" si="0"/>
        <v>284</v>
      </c>
      <c r="J59" s="5">
        <v>500</v>
      </c>
      <c r="K59" s="6">
        <f t="shared" si="1"/>
        <v>0.56799999999999995</v>
      </c>
      <c r="L59" s="7">
        <f t="shared" si="2"/>
        <v>0.43200000000000005</v>
      </c>
    </row>
    <row r="60" spans="1:12" x14ac:dyDescent="0.25">
      <c r="A60" s="2" t="s">
        <v>134</v>
      </c>
      <c r="B60" s="3" t="s">
        <v>135</v>
      </c>
      <c r="C60" s="3" t="s">
        <v>17</v>
      </c>
      <c r="D60" s="4">
        <v>34</v>
      </c>
      <c r="E60" s="4">
        <v>97</v>
      </c>
      <c r="F60" s="4">
        <v>66</v>
      </c>
      <c r="G60" s="4">
        <v>45</v>
      </c>
      <c r="H60" s="4">
        <v>50</v>
      </c>
      <c r="I60" s="5">
        <f t="shared" si="0"/>
        <v>292</v>
      </c>
      <c r="J60" s="5">
        <v>500</v>
      </c>
      <c r="K60" s="6">
        <f t="shared" si="1"/>
        <v>0.58399999999999996</v>
      </c>
      <c r="L60" s="7">
        <f t="shared" si="2"/>
        <v>0.41600000000000004</v>
      </c>
    </row>
    <row r="61" spans="1:12" x14ac:dyDescent="0.25">
      <c r="A61" s="2" t="s">
        <v>136</v>
      </c>
      <c r="B61" s="3" t="s">
        <v>137</v>
      </c>
      <c r="C61" s="3" t="s">
        <v>20</v>
      </c>
      <c r="D61" s="4">
        <v>83</v>
      </c>
      <c r="E61" s="4">
        <v>12</v>
      </c>
      <c r="F61" s="4">
        <v>70</v>
      </c>
      <c r="G61" s="4">
        <v>83</v>
      </c>
      <c r="H61" s="4">
        <v>52</v>
      </c>
      <c r="I61" s="5">
        <f t="shared" si="0"/>
        <v>300</v>
      </c>
      <c r="J61" s="5">
        <v>500</v>
      </c>
      <c r="K61" s="6">
        <f t="shared" si="1"/>
        <v>0.6</v>
      </c>
      <c r="L61" s="7">
        <f t="shared" si="2"/>
        <v>0.4</v>
      </c>
    </row>
    <row r="62" spans="1:12" x14ac:dyDescent="0.25">
      <c r="A62" s="2" t="s">
        <v>138</v>
      </c>
      <c r="B62" s="3" t="s">
        <v>139</v>
      </c>
      <c r="C62" s="3" t="s">
        <v>23</v>
      </c>
      <c r="D62" s="4">
        <v>76</v>
      </c>
      <c r="E62" s="4">
        <v>55</v>
      </c>
      <c r="F62" s="4">
        <v>56</v>
      </c>
      <c r="G62" s="4">
        <v>16</v>
      </c>
      <c r="H62" s="4">
        <v>61</v>
      </c>
      <c r="I62" s="5">
        <f t="shared" si="0"/>
        <v>264</v>
      </c>
      <c r="J62" s="5">
        <v>500</v>
      </c>
      <c r="K62" s="6">
        <f t="shared" si="1"/>
        <v>0.52800000000000002</v>
      </c>
      <c r="L62" s="7">
        <f t="shared" si="2"/>
        <v>0.47199999999999998</v>
      </c>
    </row>
    <row r="63" spans="1:12" x14ac:dyDescent="0.25">
      <c r="A63" s="2" t="s">
        <v>140</v>
      </c>
      <c r="B63" s="3" t="s">
        <v>141</v>
      </c>
      <c r="C63" s="3" t="s">
        <v>26</v>
      </c>
      <c r="D63" s="4">
        <v>40</v>
      </c>
      <c r="E63" s="4">
        <v>70</v>
      </c>
      <c r="F63" s="4">
        <v>19</v>
      </c>
      <c r="G63" s="4">
        <v>36</v>
      </c>
      <c r="H63" s="4">
        <v>52</v>
      </c>
      <c r="I63" s="5">
        <f t="shared" si="0"/>
        <v>217</v>
      </c>
      <c r="J63" s="5">
        <v>500</v>
      </c>
      <c r="K63" s="6">
        <f t="shared" si="1"/>
        <v>0.434</v>
      </c>
      <c r="L63" s="7">
        <f t="shared" si="2"/>
        <v>0.56600000000000006</v>
      </c>
    </row>
    <row r="64" spans="1:12" x14ac:dyDescent="0.25">
      <c r="A64" s="2" t="s">
        <v>142</v>
      </c>
      <c r="B64" s="3" t="s">
        <v>143</v>
      </c>
      <c r="C64" s="3" t="s">
        <v>29</v>
      </c>
      <c r="D64" s="4">
        <v>44</v>
      </c>
      <c r="E64" s="4">
        <v>60</v>
      </c>
      <c r="F64" s="4">
        <v>71</v>
      </c>
      <c r="G64" s="4">
        <v>34</v>
      </c>
      <c r="H64" s="4">
        <v>37</v>
      </c>
      <c r="I64" s="5">
        <f t="shared" si="0"/>
        <v>246</v>
      </c>
      <c r="J64" s="5">
        <v>500</v>
      </c>
      <c r="K64" s="6">
        <f t="shared" si="1"/>
        <v>0.49199999999999999</v>
      </c>
      <c r="L64" s="7">
        <f t="shared" si="2"/>
        <v>0.50800000000000001</v>
      </c>
    </row>
    <row r="65" spans="1:12" x14ac:dyDescent="0.25">
      <c r="A65" s="2" t="s">
        <v>144</v>
      </c>
      <c r="B65" s="3" t="s">
        <v>145</v>
      </c>
      <c r="C65" s="3" t="s">
        <v>32</v>
      </c>
      <c r="D65" s="4">
        <v>43</v>
      </c>
      <c r="E65" s="4">
        <v>78</v>
      </c>
      <c r="F65" s="4">
        <v>15</v>
      </c>
      <c r="G65" s="4">
        <v>98</v>
      </c>
      <c r="H65" s="4">
        <v>33</v>
      </c>
      <c r="I65" s="5">
        <f t="shared" si="0"/>
        <v>267</v>
      </c>
      <c r="J65" s="5">
        <v>500</v>
      </c>
      <c r="K65" s="6">
        <f t="shared" si="1"/>
        <v>0.53400000000000003</v>
      </c>
      <c r="L65" s="7">
        <f t="shared" si="2"/>
        <v>0.46599999999999997</v>
      </c>
    </row>
    <row r="66" spans="1:12" x14ac:dyDescent="0.25">
      <c r="A66" s="2" t="s">
        <v>146</v>
      </c>
      <c r="B66" s="3" t="s">
        <v>147</v>
      </c>
      <c r="C66" s="3" t="s">
        <v>35</v>
      </c>
      <c r="D66" s="4">
        <v>75</v>
      </c>
      <c r="E66" s="4">
        <v>75</v>
      </c>
      <c r="F66" s="4">
        <v>89</v>
      </c>
      <c r="G66" s="4">
        <v>97</v>
      </c>
      <c r="H66" s="4">
        <v>49</v>
      </c>
      <c r="I66" s="5">
        <f t="shared" si="0"/>
        <v>385</v>
      </c>
      <c r="J66" s="5">
        <v>500</v>
      </c>
      <c r="K66" s="6">
        <f t="shared" si="1"/>
        <v>0.77</v>
      </c>
      <c r="L66" s="7">
        <f t="shared" si="2"/>
        <v>0.22999999999999998</v>
      </c>
    </row>
    <row r="67" spans="1:12" x14ac:dyDescent="0.25">
      <c r="A67" s="2" t="s">
        <v>148</v>
      </c>
      <c r="B67" s="3" t="s">
        <v>149</v>
      </c>
      <c r="C67" s="3" t="s">
        <v>14</v>
      </c>
      <c r="D67" s="4">
        <v>74</v>
      </c>
      <c r="E67" s="4">
        <v>51</v>
      </c>
      <c r="F67" s="4">
        <v>97</v>
      </c>
      <c r="G67" s="4">
        <v>73</v>
      </c>
      <c r="H67" s="4">
        <v>33</v>
      </c>
      <c r="I67" s="5">
        <f t="shared" si="0"/>
        <v>328</v>
      </c>
      <c r="J67" s="5">
        <v>500</v>
      </c>
      <c r="K67" s="6">
        <f t="shared" si="1"/>
        <v>0.65600000000000003</v>
      </c>
      <c r="L67" s="7">
        <f t="shared" si="2"/>
        <v>0.34399999999999997</v>
      </c>
    </row>
    <row r="68" spans="1:12" x14ac:dyDescent="0.25">
      <c r="A68" s="2" t="s">
        <v>150</v>
      </c>
      <c r="B68" s="3" t="s">
        <v>151</v>
      </c>
      <c r="C68" s="3" t="s">
        <v>17</v>
      </c>
      <c r="D68" s="4">
        <v>44</v>
      </c>
      <c r="E68" s="4">
        <v>36</v>
      </c>
      <c r="F68" s="4">
        <v>11</v>
      </c>
      <c r="G68" s="4">
        <v>45</v>
      </c>
      <c r="H68" s="4">
        <v>30</v>
      </c>
      <c r="I68" s="5">
        <f t="shared" ref="I68:I131" si="3">SUM(D68:H68)</f>
        <v>166</v>
      </c>
      <c r="J68" s="5">
        <v>500</v>
      </c>
      <c r="K68" s="6">
        <f t="shared" ref="K68:K131" si="4">I68/J68</f>
        <v>0.33200000000000002</v>
      </c>
      <c r="L68" s="7">
        <f t="shared" ref="L68:L131" si="5">100%-K68</f>
        <v>0.66799999999999993</v>
      </c>
    </row>
    <row r="69" spans="1:12" x14ac:dyDescent="0.25">
      <c r="A69" s="2" t="s">
        <v>152</v>
      </c>
      <c r="B69" s="3" t="s">
        <v>153</v>
      </c>
      <c r="C69" s="3" t="s">
        <v>20</v>
      </c>
      <c r="D69" s="4">
        <v>87</v>
      </c>
      <c r="E69" s="4">
        <v>79</v>
      </c>
      <c r="F69" s="4">
        <v>46</v>
      </c>
      <c r="G69" s="4">
        <v>65</v>
      </c>
      <c r="H69" s="4">
        <v>65</v>
      </c>
      <c r="I69" s="5">
        <f t="shared" si="3"/>
        <v>342</v>
      </c>
      <c r="J69" s="5">
        <v>500</v>
      </c>
      <c r="K69" s="6">
        <f t="shared" si="4"/>
        <v>0.68400000000000005</v>
      </c>
      <c r="L69" s="7">
        <f t="shared" si="5"/>
        <v>0.31599999999999995</v>
      </c>
    </row>
    <row r="70" spans="1:12" x14ac:dyDescent="0.25">
      <c r="A70" s="2" t="s">
        <v>154</v>
      </c>
      <c r="B70" s="3" t="s">
        <v>155</v>
      </c>
      <c r="C70" s="3" t="s">
        <v>23</v>
      </c>
      <c r="D70" s="4">
        <v>70</v>
      </c>
      <c r="E70" s="4">
        <v>52</v>
      </c>
      <c r="F70" s="4">
        <v>80</v>
      </c>
      <c r="G70" s="4">
        <v>43</v>
      </c>
      <c r="H70" s="4">
        <v>48</v>
      </c>
      <c r="I70" s="5">
        <f t="shared" si="3"/>
        <v>293</v>
      </c>
      <c r="J70" s="5">
        <v>500</v>
      </c>
      <c r="K70" s="6">
        <f t="shared" si="4"/>
        <v>0.58599999999999997</v>
      </c>
      <c r="L70" s="7">
        <f t="shared" si="5"/>
        <v>0.41400000000000003</v>
      </c>
    </row>
    <row r="71" spans="1:12" x14ac:dyDescent="0.25">
      <c r="A71" s="2" t="s">
        <v>156</v>
      </c>
      <c r="B71" s="3" t="s">
        <v>157</v>
      </c>
      <c r="C71" s="3" t="s">
        <v>26</v>
      </c>
      <c r="D71" s="4">
        <v>45</v>
      </c>
      <c r="E71" s="4">
        <v>26</v>
      </c>
      <c r="F71" s="4">
        <v>27</v>
      </c>
      <c r="G71" s="4">
        <v>14</v>
      </c>
      <c r="H71" s="4">
        <v>59</v>
      </c>
      <c r="I71" s="5">
        <f t="shared" si="3"/>
        <v>171</v>
      </c>
      <c r="J71" s="5">
        <v>500</v>
      </c>
      <c r="K71" s="6">
        <f t="shared" si="4"/>
        <v>0.34200000000000003</v>
      </c>
      <c r="L71" s="7">
        <f t="shared" si="5"/>
        <v>0.65799999999999992</v>
      </c>
    </row>
    <row r="72" spans="1:12" x14ac:dyDescent="0.25">
      <c r="A72" s="2" t="s">
        <v>158</v>
      </c>
      <c r="B72" s="3" t="s">
        <v>159</v>
      </c>
      <c r="C72" s="3" t="s">
        <v>29</v>
      </c>
      <c r="D72" s="4">
        <v>51</v>
      </c>
      <c r="E72" s="4">
        <v>26</v>
      </c>
      <c r="F72" s="4">
        <v>58</v>
      </c>
      <c r="G72" s="4">
        <v>83</v>
      </c>
      <c r="H72" s="4">
        <v>11</v>
      </c>
      <c r="I72" s="5">
        <f t="shared" si="3"/>
        <v>229</v>
      </c>
      <c r="J72" s="5">
        <v>500</v>
      </c>
      <c r="K72" s="6">
        <f t="shared" si="4"/>
        <v>0.45800000000000002</v>
      </c>
      <c r="L72" s="7">
        <f t="shared" si="5"/>
        <v>0.54200000000000004</v>
      </c>
    </row>
    <row r="73" spans="1:12" x14ac:dyDescent="0.25">
      <c r="A73" s="2" t="s">
        <v>160</v>
      </c>
      <c r="B73" s="3" t="s">
        <v>161</v>
      </c>
      <c r="C73" s="3" t="s">
        <v>32</v>
      </c>
      <c r="D73" s="4">
        <v>68</v>
      </c>
      <c r="E73" s="4">
        <v>36</v>
      </c>
      <c r="F73" s="4">
        <v>15</v>
      </c>
      <c r="G73" s="4">
        <v>20</v>
      </c>
      <c r="H73" s="4">
        <v>17</v>
      </c>
      <c r="I73" s="5">
        <f t="shared" si="3"/>
        <v>156</v>
      </c>
      <c r="J73" s="5">
        <v>500</v>
      </c>
      <c r="K73" s="6">
        <f t="shared" si="4"/>
        <v>0.312</v>
      </c>
      <c r="L73" s="7">
        <f t="shared" si="5"/>
        <v>0.68799999999999994</v>
      </c>
    </row>
    <row r="74" spans="1:12" x14ac:dyDescent="0.25">
      <c r="A74" s="2" t="s">
        <v>162</v>
      </c>
      <c r="B74" s="3" t="s">
        <v>163</v>
      </c>
      <c r="C74" s="3" t="s">
        <v>35</v>
      </c>
      <c r="D74" s="4">
        <v>32</v>
      </c>
      <c r="E74" s="4">
        <v>74</v>
      </c>
      <c r="F74" s="4">
        <v>18</v>
      </c>
      <c r="G74" s="4">
        <v>33</v>
      </c>
      <c r="H74" s="4">
        <v>51</v>
      </c>
      <c r="I74" s="5">
        <f t="shared" si="3"/>
        <v>208</v>
      </c>
      <c r="J74" s="5">
        <v>500</v>
      </c>
      <c r="K74" s="6">
        <f t="shared" si="4"/>
        <v>0.41599999999999998</v>
      </c>
      <c r="L74" s="7">
        <f t="shared" si="5"/>
        <v>0.58400000000000007</v>
      </c>
    </row>
    <row r="75" spans="1:12" x14ac:dyDescent="0.25">
      <c r="A75" s="2" t="s">
        <v>164</v>
      </c>
      <c r="B75" s="3" t="s">
        <v>165</v>
      </c>
      <c r="C75" s="3" t="s">
        <v>14</v>
      </c>
      <c r="D75" s="4">
        <v>41</v>
      </c>
      <c r="E75" s="4">
        <v>11</v>
      </c>
      <c r="F75" s="4">
        <v>46</v>
      </c>
      <c r="G75" s="4">
        <v>35</v>
      </c>
      <c r="H75" s="4">
        <v>10</v>
      </c>
      <c r="I75" s="5">
        <f t="shared" si="3"/>
        <v>143</v>
      </c>
      <c r="J75" s="5">
        <v>500</v>
      </c>
      <c r="K75" s="6">
        <f t="shared" si="4"/>
        <v>0.28599999999999998</v>
      </c>
      <c r="L75" s="7">
        <f t="shared" si="5"/>
        <v>0.71399999999999997</v>
      </c>
    </row>
    <row r="76" spans="1:12" x14ac:dyDescent="0.25">
      <c r="A76" s="2" t="s">
        <v>166</v>
      </c>
      <c r="B76" s="3" t="s">
        <v>167</v>
      </c>
      <c r="C76" s="3" t="s">
        <v>17</v>
      </c>
      <c r="D76" s="4">
        <v>41</v>
      </c>
      <c r="E76" s="4">
        <v>17</v>
      </c>
      <c r="F76" s="4">
        <v>82</v>
      </c>
      <c r="G76" s="4">
        <v>75</v>
      </c>
      <c r="H76" s="4">
        <v>39</v>
      </c>
      <c r="I76" s="5">
        <f t="shared" si="3"/>
        <v>254</v>
      </c>
      <c r="J76" s="5">
        <v>500</v>
      </c>
      <c r="K76" s="6">
        <f t="shared" si="4"/>
        <v>0.50800000000000001</v>
      </c>
      <c r="L76" s="7">
        <f t="shared" si="5"/>
        <v>0.49199999999999999</v>
      </c>
    </row>
    <row r="77" spans="1:12" x14ac:dyDescent="0.25">
      <c r="A77" s="2" t="s">
        <v>168</v>
      </c>
      <c r="B77" s="3" t="s">
        <v>169</v>
      </c>
      <c r="C77" s="3" t="s">
        <v>20</v>
      </c>
      <c r="D77" s="4">
        <v>12</v>
      </c>
      <c r="E77" s="4">
        <v>97</v>
      </c>
      <c r="F77" s="4">
        <v>45</v>
      </c>
      <c r="G77" s="4">
        <v>29</v>
      </c>
      <c r="H77" s="4">
        <v>41</v>
      </c>
      <c r="I77" s="5">
        <f t="shared" si="3"/>
        <v>224</v>
      </c>
      <c r="J77" s="5">
        <v>500</v>
      </c>
      <c r="K77" s="6">
        <f t="shared" si="4"/>
        <v>0.44800000000000001</v>
      </c>
      <c r="L77" s="7">
        <f t="shared" si="5"/>
        <v>0.55200000000000005</v>
      </c>
    </row>
    <row r="78" spans="1:12" x14ac:dyDescent="0.25">
      <c r="A78" s="2" t="s">
        <v>170</v>
      </c>
      <c r="B78" s="3" t="s">
        <v>171</v>
      </c>
      <c r="C78" s="3" t="s">
        <v>23</v>
      </c>
      <c r="D78" s="4">
        <v>19</v>
      </c>
      <c r="E78" s="4">
        <v>72</v>
      </c>
      <c r="F78" s="4">
        <v>87</v>
      </c>
      <c r="G78" s="4">
        <v>82</v>
      </c>
      <c r="H78" s="4">
        <v>27</v>
      </c>
      <c r="I78" s="5">
        <f t="shared" si="3"/>
        <v>287</v>
      </c>
      <c r="J78" s="5">
        <v>500</v>
      </c>
      <c r="K78" s="6">
        <f t="shared" si="4"/>
        <v>0.57399999999999995</v>
      </c>
      <c r="L78" s="7">
        <f t="shared" si="5"/>
        <v>0.42600000000000005</v>
      </c>
    </row>
    <row r="79" spans="1:12" x14ac:dyDescent="0.25">
      <c r="A79" s="2" t="s">
        <v>172</v>
      </c>
      <c r="B79" s="3" t="s">
        <v>173</v>
      </c>
      <c r="C79" s="3" t="s">
        <v>26</v>
      </c>
      <c r="D79" s="4">
        <v>98</v>
      </c>
      <c r="E79" s="4">
        <v>15</v>
      </c>
      <c r="F79" s="4">
        <v>72</v>
      </c>
      <c r="G79" s="4">
        <v>67</v>
      </c>
      <c r="H79" s="4">
        <v>34</v>
      </c>
      <c r="I79" s="5">
        <f t="shared" si="3"/>
        <v>286</v>
      </c>
      <c r="J79" s="5">
        <v>500</v>
      </c>
      <c r="K79" s="6">
        <f t="shared" si="4"/>
        <v>0.57199999999999995</v>
      </c>
      <c r="L79" s="7">
        <f t="shared" si="5"/>
        <v>0.42800000000000005</v>
      </c>
    </row>
    <row r="80" spans="1:12" x14ac:dyDescent="0.25">
      <c r="A80" s="2" t="s">
        <v>174</v>
      </c>
      <c r="B80" s="3" t="s">
        <v>175</v>
      </c>
      <c r="C80" s="3" t="s">
        <v>29</v>
      </c>
      <c r="D80" s="4">
        <v>50</v>
      </c>
      <c r="E80" s="4">
        <v>44</v>
      </c>
      <c r="F80" s="4">
        <v>46</v>
      </c>
      <c r="G80" s="4">
        <v>13</v>
      </c>
      <c r="H80" s="4">
        <v>92</v>
      </c>
      <c r="I80" s="5">
        <f t="shared" si="3"/>
        <v>245</v>
      </c>
      <c r="J80" s="5">
        <v>500</v>
      </c>
      <c r="K80" s="6">
        <f t="shared" si="4"/>
        <v>0.49</v>
      </c>
      <c r="L80" s="7">
        <f t="shared" si="5"/>
        <v>0.51</v>
      </c>
    </row>
    <row r="81" spans="1:12" x14ac:dyDescent="0.25">
      <c r="A81" s="2" t="s">
        <v>176</v>
      </c>
      <c r="B81" s="3" t="s">
        <v>177</v>
      </c>
      <c r="C81" s="3" t="s">
        <v>32</v>
      </c>
      <c r="D81" s="4">
        <v>40</v>
      </c>
      <c r="E81" s="4">
        <v>82</v>
      </c>
      <c r="F81" s="4">
        <v>72</v>
      </c>
      <c r="G81" s="4">
        <v>42</v>
      </c>
      <c r="H81" s="4">
        <v>45</v>
      </c>
      <c r="I81" s="5">
        <f t="shared" si="3"/>
        <v>281</v>
      </c>
      <c r="J81" s="5">
        <v>500</v>
      </c>
      <c r="K81" s="6">
        <f t="shared" si="4"/>
        <v>0.56200000000000006</v>
      </c>
      <c r="L81" s="7">
        <f t="shared" si="5"/>
        <v>0.43799999999999994</v>
      </c>
    </row>
    <row r="82" spans="1:12" x14ac:dyDescent="0.25">
      <c r="A82" s="2" t="s">
        <v>178</v>
      </c>
      <c r="B82" s="3" t="s">
        <v>179</v>
      </c>
      <c r="C82" s="3" t="s">
        <v>35</v>
      </c>
      <c r="D82" s="4">
        <v>23</v>
      </c>
      <c r="E82" s="4">
        <v>83</v>
      </c>
      <c r="F82" s="4">
        <v>63</v>
      </c>
      <c r="G82" s="4">
        <v>65</v>
      </c>
      <c r="H82" s="4">
        <v>83</v>
      </c>
      <c r="I82" s="5">
        <f t="shared" si="3"/>
        <v>317</v>
      </c>
      <c r="J82" s="5">
        <v>500</v>
      </c>
      <c r="K82" s="6">
        <f t="shared" si="4"/>
        <v>0.63400000000000001</v>
      </c>
      <c r="L82" s="7">
        <f t="shared" si="5"/>
        <v>0.36599999999999999</v>
      </c>
    </row>
    <row r="83" spans="1:12" x14ac:dyDescent="0.25">
      <c r="A83" s="2" t="s">
        <v>180</v>
      </c>
      <c r="B83" s="3" t="s">
        <v>181</v>
      </c>
      <c r="C83" s="3" t="s">
        <v>14</v>
      </c>
      <c r="D83" s="4">
        <v>71</v>
      </c>
      <c r="E83" s="4">
        <v>94</v>
      </c>
      <c r="F83" s="4">
        <v>45</v>
      </c>
      <c r="G83" s="4">
        <v>95</v>
      </c>
      <c r="H83" s="4">
        <v>46</v>
      </c>
      <c r="I83" s="5">
        <f t="shared" si="3"/>
        <v>351</v>
      </c>
      <c r="J83" s="5">
        <v>500</v>
      </c>
      <c r="K83" s="6">
        <f t="shared" si="4"/>
        <v>0.70199999999999996</v>
      </c>
      <c r="L83" s="7">
        <f t="shared" si="5"/>
        <v>0.29800000000000004</v>
      </c>
    </row>
    <row r="84" spans="1:12" x14ac:dyDescent="0.25">
      <c r="A84" s="2" t="s">
        <v>182</v>
      </c>
      <c r="B84" s="3" t="s">
        <v>183</v>
      </c>
      <c r="C84" s="3" t="s">
        <v>17</v>
      </c>
      <c r="D84" s="4">
        <v>48</v>
      </c>
      <c r="E84" s="4">
        <v>49</v>
      </c>
      <c r="F84" s="4">
        <v>68</v>
      </c>
      <c r="G84" s="4">
        <v>23</v>
      </c>
      <c r="H84" s="4">
        <v>21</v>
      </c>
      <c r="I84" s="5">
        <f t="shared" si="3"/>
        <v>209</v>
      </c>
      <c r="J84" s="5">
        <v>500</v>
      </c>
      <c r="K84" s="6">
        <f t="shared" si="4"/>
        <v>0.41799999999999998</v>
      </c>
      <c r="L84" s="7">
        <f t="shared" si="5"/>
        <v>0.58200000000000007</v>
      </c>
    </row>
    <row r="85" spans="1:12" x14ac:dyDescent="0.25">
      <c r="A85" s="2" t="s">
        <v>184</v>
      </c>
      <c r="B85" s="3" t="s">
        <v>185</v>
      </c>
      <c r="C85" s="3" t="s">
        <v>20</v>
      </c>
      <c r="D85" s="4">
        <v>77</v>
      </c>
      <c r="E85" s="4">
        <v>83</v>
      </c>
      <c r="F85" s="4">
        <v>64</v>
      </c>
      <c r="G85" s="4">
        <v>53</v>
      </c>
      <c r="H85" s="4">
        <v>13</v>
      </c>
      <c r="I85" s="5">
        <f t="shared" si="3"/>
        <v>290</v>
      </c>
      <c r="J85" s="5">
        <v>500</v>
      </c>
      <c r="K85" s="6">
        <f t="shared" si="4"/>
        <v>0.57999999999999996</v>
      </c>
      <c r="L85" s="7">
        <f t="shared" si="5"/>
        <v>0.42000000000000004</v>
      </c>
    </row>
    <row r="86" spans="1:12" x14ac:dyDescent="0.25">
      <c r="A86" s="2" t="s">
        <v>186</v>
      </c>
      <c r="B86" s="3" t="s">
        <v>187</v>
      </c>
      <c r="C86" s="3" t="s">
        <v>23</v>
      </c>
      <c r="D86" s="4">
        <v>81</v>
      </c>
      <c r="E86" s="4">
        <v>63</v>
      </c>
      <c r="F86" s="4">
        <v>88</v>
      </c>
      <c r="G86" s="4">
        <v>89</v>
      </c>
      <c r="H86" s="4">
        <v>63</v>
      </c>
      <c r="I86" s="5">
        <f t="shared" si="3"/>
        <v>384</v>
      </c>
      <c r="J86" s="5">
        <v>500</v>
      </c>
      <c r="K86" s="6">
        <f t="shared" si="4"/>
        <v>0.76800000000000002</v>
      </c>
      <c r="L86" s="7">
        <f t="shared" si="5"/>
        <v>0.23199999999999998</v>
      </c>
    </row>
    <row r="87" spans="1:12" x14ac:dyDescent="0.25">
      <c r="A87" s="2" t="s">
        <v>188</v>
      </c>
      <c r="B87" s="3" t="s">
        <v>189</v>
      </c>
      <c r="C87" s="3" t="s">
        <v>26</v>
      </c>
      <c r="D87" s="4">
        <v>39</v>
      </c>
      <c r="E87" s="4">
        <v>87</v>
      </c>
      <c r="F87" s="4">
        <v>62</v>
      </c>
      <c r="G87" s="4">
        <v>80</v>
      </c>
      <c r="H87" s="4">
        <v>81</v>
      </c>
      <c r="I87" s="5">
        <f t="shared" si="3"/>
        <v>349</v>
      </c>
      <c r="J87" s="5">
        <v>500</v>
      </c>
      <c r="K87" s="6">
        <f t="shared" si="4"/>
        <v>0.69799999999999995</v>
      </c>
      <c r="L87" s="7">
        <f t="shared" si="5"/>
        <v>0.30200000000000005</v>
      </c>
    </row>
    <row r="88" spans="1:12" x14ac:dyDescent="0.25">
      <c r="A88" s="2" t="s">
        <v>190</v>
      </c>
      <c r="B88" s="3" t="s">
        <v>191</v>
      </c>
      <c r="C88" s="3" t="s">
        <v>29</v>
      </c>
      <c r="D88" s="4">
        <v>46</v>
      </c>
      <c r="E88" s="4">
        <v>19</v>
      </c>
      <c r="F88" s="4">
        <v>59</v>
      </c>
      <c r="G88" s="4">
        <v>58</v>
      </c>
      <c r="H88" s="4">
        <v>33</v>
      </c>
      <c r="I88" s="5">
        <f t="shared" si="3"/>
        <v>215</v>
      </c>
      <c r="J88" s="5">
        <v>500</v>
      </c>
      <c r="K88" s="6">
        <f t="shared" si="4"/>
        <v>0.43</v>
      </c>
      <c r="L88" s="7">
        <f t="shared" si="5"/>
        <v>0.57000000000000006</v>
      </c>
    </row>
    <row r="89" spans="1:12" x14ac:dyDescent="0.25">
      <c r="A89" s="2" t="s">
        <v>192</v>
      </c>
      <c r="B89" s="3" t="s">
        <v>193</v>
      </c>
      <c r="C89" s="3" t="s">
        <v>32</v>
      </c>
      <c r="D89" s="4">
        <v>34</v>
      </c>
      <c r="E89" s="4">
        <v>15</v>
      </c>
      <c r="F89" s="4">
        <v>43</v>
      </c>
      <c r="G89" s="4">
        <v>63</v>
      </c>
      <c r="H89" s="4">
        <v>54</v>
      </c>
      <c r="I89" s="5">
        <f t="shared" si="3"/>
        <v>209</v>
      </c>
      <c r="J89" s="5">
        <v>500</v>
      </c>
      <c r="K89" s="6">
        <f t="shared" si="4"/>
        <v>0.41799999999999998</v>
      </c>
      <c r="L89" s="7">
        <f t="shared" si="5"/>
        <v>0.58200000000000007</v>
      </c>
    </row>
    <row r="90" spans="1:12" x14ac:dyDescent="0.25">
      <c r="A90" s="2" t="s">
        <v>194</v>
      </c>
      <c r="B90" s="3" t="s">
        <v>195</v>
      </c>
      <c r="C90" s="3" t="s">
        <v>35</v>
      </c>
      <c r="D90" s="4">
        <v>32</v>
      </c>
      <c r="E90" s="4">
        <v>79</v>
      </c>
      <c r="F90" s="4">
        <v>65</v>
      </c>
      <c r="G90" s="4">
        <v>57</v>
      </c>
      <c r="H90" s="4">
        <v>73</v>
      </c>
      <c r="I90" s="5">
        <f t="shared" si="3"/>
        <v>306</v>
      </c>
      <c r="J90" s="5">
        <v>500</v>
      </c>
      <c r="K90" s="6">
        <f t="shared" si="4"/>
        <v>0.61199999999999999</v>
      </c>
      <c r="L90" s="7">
        <f t="shared" si="5"/>
        <v>0.38800000000000001</v>
      </c>
    </row>
    <row r="91" spans="1:12" x14ac:dyDescent="0.25">
      <c r="A91" s="2" t="s">
        <v>196</v>
      </c>
      <c r="B91" s="3" t="s">
        <v>197</v>
      </c>
      <c r="C91" s="3" t="s">
        <v>14</v>
      </c>
      <c r="D91" s="4">
        <v>72</v>
      </c>
      <c r="E91" s="4">
        <v>82</v>
      </c>
      <c r="F91" s="4">
        <v>58</v>
      </c>
      <c r="G91" s="4">
        <v>36</v>
      </c>
      <c r="H91" s="4">
        <v>33</v>
      </c>
      <c r="I91" s="5">
        <f t="shared" si="3"/>
        <v>281</v>
      </c>
      <c r="J91" s="5">
        <v>500</v>
      </c>
      <c r="K91" s="6">
        <f t="shared" si="4"/>
        <v>0.56200000000000006</v>
      </c>
      <c r="L91" s="7">
        <f t="shared" si="5"/>
        <v>0.43799999999999994</v>
      </c>
    </row>
    <row r="92" spans="1:12" x14ac:dyDescent="0.25">
      <c r="A92" s="2" t="s">
        <v>198</v>
      </c>
      <c r="B92" s="3" t="s">
        <v>199</v>
      </c>
      <c r="C92" s="3" t="s">
        <v>17</v>
      </c>
      <c r="D92" s="4">
        <v>11</v>
      </c>
      <c r="E92" s="4">
        <v>69</v>
      </c>
      <c r="F92" s="4">
        <v>49</v>
      </c>
      <c r="G92" s="4">
        <v>90</v>
      </c>
      <c r="H92" s="4">
        <v>99</v>
      </c>
      <c r="I92" s="5">
        <f t="shared" si="3"/>
        <v>318</v>
      </c>
      <c r="J92" s="5">
        <v>500</v>
      </c>
      <c r="K92" s="6">
        <f t="shared" si="4"/>
        <v>0.63600000000000001</v>
      </c>
      <c r="L92" s="7">
        <f t="shared" si="5"/>
        <v>0.36399999999999999</v>
      </c>
    </row>
    <row r="93" spans="1:12" x14ac:dyDescent="0.25">
      <c r="A93" s="2" t="s">
        <v>200</v>
      </c>
      <c r="B93" s="3" t="s">
        <v>201</v>
      </c>
      <c r="C93" s="3" t="s">
        <v>20</v>
      </c>
      <c r="D93" s="4">
        <v>80</v>
      </c>
      <c r="E93" s="4">
        <v>73</v>
      </c>
      <c r="F93" s="4">
        <v>21</v>
      </c>
      <c r="G93" s="4">
        <v>72</v>
      </c>
      <c r="H93" s="4">
        <v>54</v>
      </c>
      <c r="I93" s="5">
        <f t="shared" si="3"/>
        <v>300</v>
      </c>
      <c r="J93" s="5">
        <v>500</v>
      </c>
      <c r="K93" s="6">
        <f t="shared" si="4"/>
        <v>0.6</v>
      </c>
      <c r="L93" s="7">
        <f t="shared" si="5"/>
        <v>0.4</v>
      </c>
    </row>
    <row r="94" spans="1:12" x14ac:dyDescent="0.25">
      <c r="A94" s="2" t="s">
        <v>202</v>
      </c>
      <c r="B94" s="3" t="s">
        <v>203</v>
      </c>
      <c r="C94" s="3" t="s">
        <v>23</v>
      </c>
      <c r="D94" s="4">
        <v>93</v>
      </c>
      <c r="E94" s="4">
        <v>42</v>
      </c>
      <c r="F94" s="4">
        <v>38</v>
      </c>
      <c r="G94" s="4">
        <v>98</v>
      </c>
      <c r="H94" s="4">
        <v>10</v>
      </c>
      <c r="I94" s="5">
        <f t="shared" si="3"/>
        <v>281</v>
      </c>
      <c r="J94" s="5">
        <v>500</v>
      </c>
      <c r="K94" s="6">
        <f t="shared" si="4"/>
        <v>0.56200000000000006</v>
      </c>
      <c r="L94" s="7">
        <f t="shared" si="5"/>
        <v>0.43799999999999994</v>
      </c>
    </row>
    <row r="95" spans="1:12" x14ac:dyDescent="0.25">
      <c r="A95" s="2" t="s">
        <v>204</v>
      </c>
      <c r="B95" s="3" t="s">
        <v>205</v>
      </c>
      <c r="C95" s="3" t="s">
        <v>26</v>
      </c>
      <c r="D95" s="4">
        <v>18</v>
      </c>
      <c r="E95" s="4">
        <v>80</v>
      </c>
      <c r="F95" s="4">
        <v>20</v>
      </c>
      <c r="G95" s="4">
        <v>32</v>
      </c>
      <c r="H95" s="4">
        <v>95</v>
      </c>
      <c r="I95" s="5">
        <f t="shared" si="3"/>
        <v>245</v>
      </c>
      <c r="J95" s="5">
        <v>500</v>
      </c>
      <c r="K95" s="6">
        <f t="shared" si="4"/>
        <v>0.49</v>
      </c>
      <c r="L95" s="7">
        <f t="shared" si="5"/>
        <v>0.51</v>
      </c>
    </row>
    <row r="96" spans="1:12" x14ac:dyDescent="0.25">
      <c r="A96" s="2" t="s">
        <v>206</v>
      </c>
      <c r="B96" s="3" t="s">
        <v>207</v>
      </c>
      <c r="C96" s="3" t="s">
        <v>29</v>
      </c>
      <c r="D96" s="4">
        <v>96</v>
      </c>
      <c r="E96" s="4">
        <v>14</v>
      </c>
      <c r="F96" s="4">
        <v>20</v>
      </c>
      <c r="G96" s="4">
        <v>31</v>
      </c>
      <c r="H96" s="4">
        <v>44</v>
      </c>
      <c r="I96" s="5">
        <f t="shared" si="3"/>
        <v>205</v>
      </c>
      <c r="J96" s="5">
        <v>500</v>
      </c>
      <c r="K96" s="6">
        <f t="shared" si="4"/>
        <v>0.41</v>
      </c>
      <c r="L96" s="7">
        <f t="shared" si="5"/>
        <v>0.59000000000000008</v>
      </c>
    </row>
    <row r="97" spans="1:12" x14ac:dyDescent="0.25">
      <c r="A97" s="2" t="s">
        <v>208</v>
      </c>
      <c r="B97" s="3" t="s">
        <v>209</v>
      </c>
      <c r="C97" s="3" t="s">
        <v>32</v>
      </c>
      <c r="D97" s="4">
        <v>37</v>
      </c>
      <c r="E97" s="4">
        <v>60</v>
      </c>
      <c r="F97" s="4">
        <v>50</v>
      </c>
      <c r="G97" s="4">
        <v>68</v>
      </c>
      <c r="H97" s="4">
        <v>19</v>
      </c>
      <c r="I97" s="5">
        <f t="shared" si="3"/>
        <v>234</v>
      </c>
      <c r="J97" s="5">
        <v>500</v>
      </c>
      <c r="K97" s="6">
        <f t="shared" si="4"/>
        <v>0.46800000000000003</v>
      </c>
      <c r="L97" s="7">
        <f t="shared" si="5"/>
        <v>0.53200000000000003</v>
      </c>
    </row>
    <row r="98" spans="1:12" x14ac:dyDescent="0.25">
      <c r="A98" s="2" t="s">
        <v>210</v>
      </c>
      <c r="B98" s="3" t="s">
        <v>211</v>
      </c>
      <c r="C98" s="3" t="s">
        <v>35</v>
      </c>
      <c r="D98" s="4">
        <v>35</v>
      </c>
      <c r="E98" s="4">
        <v>79</v>
      </c>
      <c r="F98" s="4">
        <v>17</v>
      </c>
      <c r="G98" s="4">
        <v>85</v>
      </c>
      <c r="H98" s="4">
        <v>16</v>
      </c>
      <c r="I98" s="5">
        <f t="shared" si="3"/>
        <v>232</v>
      </c>
      <c r="J98" s="5">
        <v>500</v>
      </c>
      <c r="K98" s="6">
        <f t="shared" si="4"/>
        <v>0.46400000000000002</v>
      </c>
      <c r="L98" s="7">
        <f t="shared" si="5"/>
        <v>0.53600000000000003</v>
      </c>
    </row>
    <row r="99" spans="1:12" x14ac:dyDescent="0.25">
      <c r="A99" s="2" t="s">
        <v>212</v>
      </c>
      <c r="B99" s="3" t="s">
        <v>213</v>
      </c>
      <c r="C99" s="3" t="s">
        <v>14</v>
      </c>
      <c r="D99" s="4">
        <v>31</v>
      </c>
      <c r="E99" s="4">
        <v>48</v>
      </c>
      <c r="F99" s="4">
        <v>56</v>
      </c>
      <c r="G99" s="4">
        <v>85</v>
      </c>
      <c r="H99" s="4">
        <v>25</v>
      </c>
      <c r="I99" s="5">
        <f t="shared" si="3"/>
        <v>245</v>
      </c>
      <c r="J99" s="5">
        <v>500</v>
      </c>
      <c r="K99" s="6">
        <f t="shared" si="4"/>
        <v>0.49</v>
      </c>
      <c r="L99" s="7">
        <f t="shared" si="5"/>
        <v>0.51</v>
      </c>
    </row>
    <row r="100" spans="1:12" x14ac:dyDescent="0.25">
      <c r="A100" s="2" t="s">
        <v>214</v>
      </c>
      <c r="B100" s="3" t="s">
        <v>215</v>
      </c>
      <c r="C100" s="3" t="s">
        <v>17</v>
      </c>
      <c r="D100" s="4">
        <v>23</v>
      </c>
      <c r="E100" s="4">
        <v>83</v>
      </c>
      <c r="F100" s="4">
        <v>86</v>
      </c>
      <c r="G100" s="4">
        <v>69</v>
      </c>
      <c r="H100" s="4">
        <v>25</v>
      </c>
      <c r="I100" s="5">
        <f t="shared" si="3"/>
        <v>286</v>
      </c>
      <c r="J100" s="5">
        <v>500</v>
      </c>
      <c r="K100" s="6">
        <f t="shared" si="4"/>
        <v>0.57199999999999995</v>
      </c>
      <c r="L100" s="7">
        <f t="shared" si="5"/>
        <v>0.42800000000000005</v>
      </c>
    </row>
    <row r="101" spans="1:12" x14ac:dyDescent="0.25">
      <c r="A101" s="2" t="s">
        <v>216</v>
      </c>
      <c r="B101" s="3" t="s">
        <v>217</v>
      </c>
      <c r="C101" s="3" t="s">
        <v>20</v>
      </c>
      <c r="D101" s="4">
        <v>17</v>
      </c>
      <c r="E101" s="4">
        <v>97</v>
      </c>
      <c r="F101" s="4">
        <v>81</v>
      </c>
      <c r="G101" s="4">
        <v>32</v>
      </c>
      <c r="H101" s="4">
        <v>76</v>
      </c>
      <c r="I101" s="5">
        <f t="shared" si="3"/>
        <v>303</v>
      </c>
      <c r="J101" s="5">
        <v>500</v>
      </c>
      <c r="K101" s="6">
        <f t="shared" si="4"/>
        <v>0.60599999999999998</v>
      </c>
      <c r="L101" s="7">
        <f t="shared" si="5"/>
        <v>0.39400000000000002</v>
      </c>
    </row>
    <row r="102" spans="1:12" x14ac:dyDescent="0.25">
      <c r="A102" s="2" t="s">
        <v>218</v>
      </c>
      <c r="B102" s="3" t="s">
        <v>219</v>
      </c>
      <c r="C102" s="3" t="s">
        <v>23</v>
      </c>
      <c r="D102" s="4">
        <v>92</v>
      </c>
      <c r="E102" s="4">
        <v>45</v>
      </c>
      <c r="F102" s="4">
        <v>43</v>
      </c>
      <c r="G102" s="4">
        <v>91</v>
      </c>
      <c r="H102" s="4">
        <v>47</v>
      </c>
      <c r="I102" s="5">
        <f t="shared" si="3"/>
        <v>318</v>
      </c>
      <c r="J102" s="5">
        <v>500</v>
      </c>
      <c r="K102" s="6">
        <f t="shared" si="4"/>
        <v>0.63600000000000001</v>
      </c>
      <c r="L102" s="7">
        <f t="shared" si="5"/>
        <v>0.36399999999999999</v>
      </c>
    </row>
    <row r="103" spans="1:12" x14ac:dyDescent="0.25">
      <c r="A103" s="2" t="s">
        <v>220</v>
      </c>
      <c r="B103" s="3" t="s">
        <v>221</v>
      </c>
      <c r="C103" s="3" t="s">
        <v>26</v>
      </c>
      <c r="D103" s="4">
        <v>49</v>
      </c>
      <c r="E103" s="4">
        <v>77</v>
      </c>
      <c r="F103" s="4">
        <v>18</v>
      </c>
      <c r="G103" s="4">
        <v>69</v>
      </c>
      <c r="H103" s="4">
        <v>55</v>
      </c>
      <c r="I103" s="5">
        <f t="shared" si="3"/>
        <v>268</v>
      </c>
      <c r="J103" s="5">
        <v>500</v>
      </c>
      <c r="K103" s="6">
        <f t="shared" si="4"/>
        <v>0.53600000000000003</v>
      </c>
      <c r="L103" s="7">
        <f t="shared" si="5"/>
        <v>0.46399999999999997</v>
      </c>
    </row>
    <row r="104" spans="1:12" x14ac:dyDescent="0.25">
      <c r="A104" s="2" t="s">
        <v>222</v>
      </c>
      <c r="B104" s="3" t="s">
        <v>223</v>
      </c>
      <c r="C104" s="3" t="s">
        <v>29</v>
      </c>
      <c r="D104" s="4">
        <v>81</v>
      </c>
      <c r="E104" s="4">
        <v>88</v>
      </c>
      <c r="F104" s="4">
        <v>19</v>
      </c>
      <c r="G104" s="4">
        <v>95</v>
      </c>
      <c r="H104" s="4">
        <v>39</v>
      </c>
      <c r="I104" s="5">
        <f t="shared" si="3"/>
        <v>322</v>
      </c>
      <c r="J104" s="5">
        <v>500</v>
      </c>
      <c r="K104" s="6">
        <f t="shared" si="4"/>
        <v>0.64400000000000002</v>
      </c>
      <c r="L104" s="7">
        <f t="shared" si="5"/>
        <v>0.35599999999999998</v>
      </c>
    </row>
    <row r="105" spans="1:12" x14ac:dyDescent="0.25">
      <c r="A105" s="2" t="s">
        <v>224</v>
      </c>
      <c r="B105" s="3" t="s">
        <v>225</v>
      </c>
      <c r="C105" s="3" t="s">
        <v>32</v>
      </c>
      <c r="D105" s="4">
        <v>55</v>
      </c>
      <c r="E105" s="4">
        <v>14</v>
      </c>
      <c r="F105" s="4">
        <v>41</v>
      </c>
      <c r="G105" s="4">
        <v>40</v>
      </c>
      <c r="H105" s="4">
        <v>70</v>
      </c>
      <c r="I105" s="5">
        <f t="shared" si="3"/>
        <v>220</v>
      </c>
      <c r="J105" s="5">
        <v>500</v>
      </c>
      <c r="K105" s="6">
        <f t="shared" si="4"/>
        <v>0.44</v>
      </c>
      <c r="L105" s="7">
        <f t="shared" si="5"/>
        <v>0.56000000000000005</v>
      </c>
    </row>
    <row r="106" spans="1:12" x14ac:dyDescent="0.25">
      <c r="A106" s="2" t="s">
        <v>226</v>
      </c>
      <c r="B106" s="3" t="s">
        <v>227</v>
      </c>
      <c r="C106" s="3" t="s">
        <v>35</v>
      </c>
      <c r="D106" s="4">
        <v>86</v>
      </c>
      <c r="E106" s="4">
        <v>13</v>
      </c>
      <c r="F106" s="4">
        <v>99</v>
      </c>
      <c r="G106" s="4">
        <v>25</v>
      </c>
      <c r="H106" s="4">
        <v>83</v>
      </c>
      <c r="I106" s="5">
        <f t="shared" si="3"/>
        <v>306</v>
      </c>
      <c r="J106" s="5">
        <v>500</v>
      </c>
      <c r="K106" s="6">
        <f t="shared" si="4"/>
        <v>0.61199999999999999</v>
      </c>
      <c r="L106" s="7">
        <f t="shared" si="5"/>
        <v>0.38800000000000001</v>
      </c>
    </row>
    <row r="107" spans="1:12" x14ac:dyDescent="0.25">
      <c r="A107" s="2" t="s">
        <v>228</v>
      </c>
      <c r="B107" s="3" t="s">
        <v>229</v>
      </c>
      <c r="C107" s="3" t="s">
        <v>14</v>
      </c>
      <c r="D107" s="4">
        <v>88</v>
      </c>
      <c r="E107" s="4">
        <v>96</v>
      </c>
      <c r="F107" s="4">
        <v>16</v>
      </c>
      <c r="G107" s="4">
        <v>65</v>
      </c>
      <c r="H107" s="4">
        <v>86</v>
      </c>
      <c r="I107" s="5">
        <f t="shared" si="3"/>
        <v>351</v>
      </c>
      <c r="J107" s="5">
        <v>500</v>
      </c>
      <c r="K107" s="6">
        <f t="shared" si="4"/>
        <v>0.70199999999999996</v>
      </c>
      <c r="L107" s="7">
        <f t="shared" si="5"/>
        <v>0.29800000000000004</v>
      </c>
    </row>
    <row r="108" spans="1:12" x14ac:dyDescent="0.25">
      <c r="A108" s="2" t="s">
        <v>230</v>
      </c>
      <c r="B108" s="3" t="s">
        <v>231</v>
      </c>
      <c r="C108" s="3" t="s">
        <v>17</v>
      </c>
      <c r="D108" s="4">
        <v>61</v>
      </c>
      <c r="E108" s="4">
        <v>73</v>
      </c>
      <c r="F108" s="4">
        <v>34</v>
      </c>
      <c r="G108" s="4">
        <v>30</v>
      </c>
      <c r="H108" s="4">
        <v>30</v>
      </c>
      <c r="I108" s="5">
        <f t="shared" si="3"/>
        <v>228</v>
      </c>
      <c r="J108" s="5">
        <v>500</v>
      </c>
      <c r="K108" s="6">
        <f t="shared" si="4"/>
        <v>0.45600000000000002</v>
      </c>
      <c r="L108" s="7">
        <f t="shared" si="5"/>
        <v>0.54400000000000004</v>
      </c>
    </row>
    <row r="109" spans="1:12" x14ac:dyDescent="0.25">
      <c r="A109" s="2" t="s">
        <v>232</v>
      </c>
      <c r="B109" s="3" t="s">
        <v>233</v>
      </c>
      <c r="C109" s="3" t="s">
        <v>20</v>
      </c>
      <c r="D109" s="4">
        <v>61</v>
      </c>
      <c r="E109" s="4">
        <v>91</v>
      </c>
      <c r="F109" s="4">
        <v>53</v>
      </c>
      <c r="G109" s="4">
        <v>78</v>
      </c>
      <c r="H109" s="4">
        <v>91</v>
      </c>
      <c r="I109" s="5">
        <f t="shared" si="3"/>
        <v>374</v>
      </c>
      <c r="J109" s="5">
        <v>500</v>
      </c>
      <c r="K109" s="6">
        <f t="shared" si="4"/>
        <v>0.748</v>
      </c>
      <c r="L109" s="7">
        <f t="shared" si="5"/>
        <v>0.252</v>
      </c>
    </row>
    <row r="110" spans="1:12" x14ac:dyDescent="0.25">
      <c r="A110" s="2" t="s">
        <v>234</v>
      </c>
      <c r="B110" s="3" t="s">
        <v>235</v>
      </c>
      <c r="C110" s="3" t="s">
        <v>23</v>
      </c>
      <c r="D110" s="4">
        <v>75</v>
      </c>
      <c r="E110" s="4">
        <v>53</v>
      </c>
      <c r="F110" s="4">
        <v>27</v>
      </c>
      <c r="G110" s="4">
        <v>26</v>
      </c>
      <c r="H110" s="4">
        <v>30</v>
      </c>
      <c r="I110" s="5">
        <f t="shared" si="3"/>
        <v>211</v>
      </c>
      <c r="J110" s="5">
        <v>500</v>
      </c>
      <c r="K110" s="6">
        <f t="shared" si="4"/>
        <v>0.42199999999999999</v>
      </c>
      <c r="L110" s="7">
        <f t="shared" si="5"/>
        <v>0.57800000000000007</v>
      </c>
    </row>
    <row r="111" spans="1:12" x14ac:dyDescent="0.25">
      <c r="A111" s="2" t="s">
        <v>236</v>
      </c>
      <c r="B111" s="3" t="s">
        <v>237</v>
      </c>
      <c r="C111" s="3" t="s">
        <v>26</v>
      </c>
      <c r="D111" s="4">
        <v>24</v>
      </c>
      <c r="E111" s="4">
        <v>31</v>
      </c>
      <c r="F111" s="4">
        <v>41</v>
      </c>
      <c r="G111" s="4">
        <v>57</v>
      </c>
      <c r="H111" s="4">
        <v>83</v>
      </c>
      <c r="I111" s="5">
        <f t="shared" si="3"/>
        <v>236</v>
      </c>
      <c r="J111" s="5">
        <v>500</v>
      </c>
      <c r="K111" s="6">
        <f t="shared" si="4"/>
        <v>0.47199999999999998</v>
      </c>
      <c r="L111" s="7">
        <f t="shared" si="5"/>
        <v>0.52800000000000002</v>
      </c>
    </row>
    <row r="112" spans="1:12" x14ac:dyDescent="0.25">
      <c r="A112" s="2" t="s">
        <v>238</v>
      </c>
      <c r="B112" s="3" t="s">
        <v>239</v>
      </c>
      <c r="C112" s="3" t="s">
        <v>29</v>
      </c>
      <c r="D112" s="4">
        <v>83</v>
      </c>
      <c r="E112" s="4">
        <v>62</v>
      </c>
      <c r="F112" s="4">
        <v>32</v>
      </c>
      <c r="G112" s="4">
        <v>83</v>
      </c>
      <c r="H112" s="4">
        <v>95</v>
      </c>
      <c r="I112" s="5">
        <f t="shared" si="3"/>
        <v>355</v>
      </c>
      <c r="J112" s="5">
        <v>500</v>
      </c>
      <c r="K112" s="6">
        <f t="shared" si="4"/>
        <v>0.71</v>
      </c>
      <c r="L112" s="7">
        <f t="shared" si="5"/>
        <v>0.29000000000000004</v>
      </c>
    </row>
    <row r="113" spans="1:12" x14ac:dyDescent="0.25">
      <c r="A113" s="2" t="s">
        <v>240</v>
      </c>
      <c r="B113" s="3" t="s">
        <v>241</v>
      </c>
      <c r="C113" s="3" t="s">
        <v>32</v>
      </c>
      <c r="D113" s="4">
        <v>39</v>
      </c>
      <c r="E113" s="4">
        <v>52</v>
      </c>
      <c r="F113" s="4">
        <v>72</v>
      </c>
      <c r="G113" s="4">
        <v>99</v>
      </c>
      <c r="H113" s="4">
        <v>58</v>
      </c>
      <c r="I113" s="5">
        <f t="shared" si="3"/>
        <v>320</v>
      </c>
      <c r="J113" s="5">
        <v>500</v>
      </c>
      <c r="K113" s="6">
        <f t="shared" si="4"/>
        <v>0.64</v>
      </c>
      <c r="L113" s="7">
        <f t="shared" si="5"/>
        <v>0.36</v>
      </c>
    </row>
    <row r="114" spans="1:12" x14ac:dyDescent="0.25">
      <c r="A114" s="2" t="s">
        <v>242</v>
      </c>
      <c r="B114" s="3" t="s">
        <v>243</v>
      </c>
      <c r="C114" s="3" t="s">
        <v>35</v>
      </c>
      <c r="D114" s="4">
        <v>93</v>
      </c>
      <c r="E114" s="4">
        <v>74</v>
      </c>
      <c r="F114" s="4">
        <v>85</v>
      </c>
      <c r="G114" s="4">
        <v>47</v>
      </c>
      <c r="H114" s="4">
        <v>90</v>
      </c>
      <c r="I114" s="5">
        <f t="shared" si="3"/>
        <v>389</v>
      </c>
      <c r="J114" s="5">
        <v>500</v>
      </c>
      <c r="K114" s="6">
        <f t="shared" si="4"/>
        <v>0.77800000000000002</v>
      </c>
      <c r="L114" s="7">
        <f t="shared" si="5"/>
        <v>0.22199999999999998</v>
      </c>
    </row>
    <row r="115" spans="1:12" x14ac:dyDescent="0.25">
      <c r="A115" s="2" t="s">
        <v>244</v>
      </c>
      <c r="B115" s="3" t="s">
        <v>245</v>
      </c>
      <c r="C115" s="3" t="s">
        <v>14</v>
      </c>
      <c r="D115" s="4">
        <v>43</v>
      </c>
      <c r="E115" s="4">
        <v>88</v>
      </c>
      <c r="F115" s="4">
        <v>35</v>
      </c>
      <c r="G115" s="4">
        <v>54</v>
      </c>
      <c r="H115" s="4">
        <v>91</v>
      </c>
      <c r="I115" s="5">
        <f t="shared" si="3"/>
        <v>311</v>
      </c>
      <c r="J115" s="5">
        <v>500</v>
      </c>
      <c r="K115" s="6">
        <f t="shared" si="4"/>
        <v>0.622</v>
      </c>
      <c r="L115" s="7">
        <f t="shared" si="5"/>
        <v>0.378</v>
      </c>
    </row>
    <row r="116" spans="1:12" x14ac:dyDescent="0.25">
      <c r="A116" s="2" t="s">
        <v>246</v>
      </c>
      <c r="B116" s="3" t="s">
        <v>247</v>
      </c>
      <c r="C116" s="3" t="s">
        <v>17</v>
      </c>
      <c r="D116" s="4">
        <v>87</v>
      </c>
      <c r="E116" s="4">
        <v>15</v>
      </c>
      <c r="F116" s="4">
        <v>11</v>
      </c>
      <c r="G116" s="4">
        <v>42</v>
      </c>
      <c r="H116" s="4">
        <v>88</v>
      </c>
      <c r="I116" s="5">
        <f t="shared" si="3"/>
        <v>243</v>
      </c>
      <c r="J116" s="5">
        <v>500</v>
      </c>
      <c r="K116" s="6">
        <f t="shared" si="4"/>
        <v>0.48599999999999999</v>
      </c>
      <c r="L116" s="7">
        <f t="shared" si="5"/>
        <v>0.51400000000000001</v>
      </c>
    </row>
    <row r="117" spans="1:12" x14ac:dyDescent="0.25">
      <c r="A117" s="2" t="s">
        <v>248</v>
      </c>
      <c r="B117" s="3" t="s">
        <v>249</v>
      </c>
      <c r="C117" s="3" t="s">
        <v>20</v>
      </c>
      <c r="D117" s="4">
        <v>45</v>
      </c>
      <c r="E117" s="4">
        <v>45</v>
      </c>
      <c r="F117" s="4">
        <v>61</v>
      </c>
      <c r="G117" s="4">
        <v>11</v>
      </c>
      <c r="H117" s="4">
        <v>52</v>
      </c>
      <c r="I117" s="5">
        <f t="shared" si="3"/>
        <v>214</v>
      </c>
      <c r="J117" s="5">
        <v>500</v>
      </c>
      <c r="K117" s="6">
        <f t="shared" si="4"/>
        <v>0.42799999999999999</v>
      </c>
      <c r="L117" s="7">
        <f t="shared" si="5"/>
        <v>0.57200000000000006</v>
      </c>
    </row>
    <row r="118" spans="1:12" x14ac:dyDescent="0.25">
      <c r="A118" s="2" t="s">
        <v>250</v>
      </c>
      <c r="B118" s="3" t="s">
        <v>251</v>
      </c>
      <c r="C118" s="3" t="s">
        <v>23</v>
      </c>
      <c r="D118" s="4">
        <v>71</v>
      </c>
      <c r="E118" s="4">
        <v>42</v>
      </c>
      <c r="F118" s="4">
        <v>17</v>
      </c>
      <c r="G118" s="4">
        <v>57</v>
      </c>
      <c r="H118" s="4">
        <v>96</v>
      </c>
      <c r="I118" s="5">
        <f t="shared" si="3"/>
        <v>283</v>
      </c>
      <c r="J118" s="5">
        <v>500</v>
      </c>
      <c r="K118" s="6">
        <f t="shared" si="4"/>
        <v>0.56599999999999995</v>
      </c>
      <c r="L118" s="7">
        <f t="shared" si="5"/>
        <v>0.43400000000000005</v>
      </c>
    </row>
    <row r="119" spans="1:12" x14ac:dyDescent="0.25">
      <c r="A119" s="2" t="s">
        <v>252</v>
      </c>
      <c r="B119" s="3" t="s">
        <v>253</v>
      </c>
      <c r="C119" s="3" t="s">
        <v>26</v>
      </c>
      <c r="D119" s="4">
        <v>26</v>
      </c>
      <c r="E119" s="4">
        <v>65</v>
      </c>
      <c r="F119" s="4">
        <v>17</v>
      </c>
      <c r="G119" s="4">
        <v>28</v>
      </c>
      <c r="H119" s="4">
        <v>30</v>
      </c>
      <c r="I119" s="5">
        <f t="shared" si="3"/>
        <v>166</v>
      </c>
      <c r="J119" s="5">
        <v>500</v>
      </c>
      <c r="K119" s="6">
        <f t="shared" si="4"/>
        <v>0.33200000000000002</v>
      </c>
      <c r="L119" s="7">
        <f t="shared" si="5"/>
        <v>0.66799999999999993</v>
      </c>
    </row>
    <row r="120" spans="1:12" x14ac:dyDescent="0.25">
      <c r="A120" s="2" t="s">
        <v>254</v>
      </c>
      <c r="B120" s="3" t="s">
        <v>255</v>
      </c>
      <c r="C120" s="3" t="s">
        <v>29</v>
      </c>
      <c r="D120" s="4">
        <v>26</v>
      </c>
      <c r="E120" s="4">
        <v>61</v>
      </c>
      <c r="F120" s="4">
        <v>89</v>
      </c>
      <c r="G120" s="4">
        <v>71</v>
      </c>
      <c r="H120" s="4">
        <v>33</v>
      </c>
      <c r="I120" s="5">
        <f t="shared" si="3"/>
        <v>280</v>
      </c>
      <c r="J120" s="5">
        <v>500</v>
      </c>
      <c r="K120" s="6">
        <f t="shared" si="4"/>
        <v>0.56000000000000005</v>
      </c>
      <c r="L120" s="7">
        <f t="shared" si="5"/>
        <v>0.43999999999999995</v>
      </c>
    </row>
    <row r="121" spans="1:12" x14ac:dyDescent="0.25">
      <c r="A121" s="2" t="s">
        <v>256</v>
      </c>
      <c r="B121" s="3" t="s">
        <v>257</v>
      </c>
      <c r="C121" s="3" t="s">
        <v>32</v>
      </c>
      <c r="D121" s="4">
        <v>93</v>
      </c>
      <c r="E121" s="4">
        <v>11</v>
      </c>
      <c r="F121" s="4">
        <v>93</v>
      </c>
      <c r="G121" s="4">
        <v>31</v>
      </c>
      <c r="H121" s="4">
        <v>30</v>
      </c>
      <c r="I121" s="5">
        <f t="shared" si="3"/>
        <v>258</v>
      </c>
      <c r="J121" s="5">
        <v>500</v>
      </c>
      <c r="K121" s="6">
        <f t="shared" si="4"/>
        <v>0.51600000000000001</v>
      </c>
      <c r="L121" s="7">
        <f t="shared" si="5"/>
        <v>0.48399999999999999</v>
      </c>
    </row>
    <row r="122" spans="1:12" x14ac:dyDescent="0.25">
      <c r="A122" s="2" t="s">
        <v>258</v>
      </c>
      <c r="B122" s="3" t="s">
        <v>259</v>
      </c>
      <c r="C122" s="3" t="s">
        <v>35</v>
      </c>
      <c r="D122" s="4">
        <v>65</v>
      </c>
      <c r="E122" s="4">
        <v>92</v>
      </c>
      <c r="F122" s="4">
        <v>48</v>
      </c>
      <c r="G122" s="4">
        <v>96</v>
      </c>
      <c r="H122" s="4">
        <v>15</v>
      </c>
      <c r="I122" s="5">
        <f t="shared" si="3"/>
        <v>316</v>
      </c>
      <c r="J122" s="5">
        <v>500</v>
      </c>
      <c r="K122" s="6">
        <f t="shared" si="4"/>
        <v>0.63200000000000001</v>
      </c>
      <c r="L122" s="7">
        <f t="shared" si="5"/>
        <v>0.36799999999999999</v>
      </c>
    </row>
    <row r="123" spans="1:12" x14ac:dyDescent="0.25">
      <c r="A123" s="2" t="s">
        <v>260</v>
      </c>
      <c r="B123" s="3" t="s">
        <v>261</v>
      </c>
      <c r="C123" s="3" t="s">
        <v>14</v>
      </c>
      <c r="D123" s="4">
        <v>91</v>
      </c>
      <c r="E123" s="4">
        <v>38</v>
      </c>
      <c r="F123" s="4">
        <v>33</v>
      </c>
      <c r="G123" s="4">
        <v>55</v>
      </c>
      <c r="H123" s="4">
        <v>83</v>
      </c>
      <c r="I123" s="5">
        <f t="shared" si="3"/>
        <v>300</v>
      </c>
      <c r="J123" s="5">
        <v>500</v>
      </c>
      <c r="K123" s="6">
        <f t="shared" si="4"/>
        <v>0.6</v>
      </c>
      <c r="L123" s="7">
        <f t="shared" si="5"/>
        <v>0.4</v>
      </c>
    </row>
    <row r="124" spans="1:12" x14ac:dyDescent="0.25">
      <c r="A124" s="2" t="s">
        <v>262</v>
      </c>
      <c r="B124" s="3" t="s">
        <v>263</v>
      </c>
      <c r="C124" s="3" t="s">
        <v>17</v>
      </c>
      <c r="D124" s="4">
        <v>20</v>
      </c>
      <c r="E124" s="4">
        <v>94</v>
      </c>
      <c r="F124" s="4">
        <v>45</v>
      </c>
      <c r="G124" s="4">
        <v>70</v>
      </c>
      <c r="H124" s="4">
        <v>98</v>
      </c>
      <c r="I124" s="5">
        <f t="shared" si="3"/>
        <v>327</v>
      </c>
      <c r="J124" s="5">
        <v>500</v>
      </c>
      <c r="K124" s="6">
        <f t="shared" si="4"/>
        <v>0.65400000000000003</v>
      </c>
      <c r="L124" s="7">
        <f t="shared" si="5"/>
        <v>0.34599999999999997</v>
      </c>
    </row>
    <row r="125" spans="1:12" x14ac:dyDescent="0.25">
      <c r="A125" s="2" t="s">
        <v>264</v>
      </c>
      <c r="B125" s="3" t="s">
        <v>265</v>
      </c>
      <c r="C125" s="3" t="s">
        <v>20</v>
      </c>
      <c r="D125" s="4">
        <v>25</v>
      </c>
      <c r="E125" s="4">
        <v>83</v>
      </c>
      <c r="F125" s="4">
        <v>26</v>
      </c>
      <c r="G125" s="4">
        <v>68</v>
      </c>
      <c r="H125" s="4">
        <v>22</v>
      </c>
      <c r="I125" s="5">
        <f t="shared" si="3"/>
        <v>224</v>
      </c>
      <c r="J125" s="5">
        <v>500</v>
      </c>
      <c r="K125" s="6">
        <f t="shared" si="4"/>
        <v>0.44800000000000001</v>
      </c>
      <c r="L125" s="7">
        <f t="shared" si="5"/>
        <v>0.55200000000000005</v>
      </c>
    </row>
    <row r="126" spans="1:12" x14ac:dyDescent="0.25">
      <c r="A126" s="2" t="s">
        <v>266</v>
      </c>
      <c r="B126" s="3" t="s">
        <v>267</v>
      </c>
      <c r="C126" s="3" t="s">
        <v>23</v>
      </c>
      <c r="D126" s="4">
        <v>26</v>
      </c>
      <c r="E126" s="4">
        <v>16</v>
      </c>
      <c r="F126" s="4">
        <v>61</v>
      </c>
      <c r="G126" s="4">
        <v>92</v>
      </c>
      <c r="H126" s="4">
        <v>50</v>
      </c>
      <c r="I126" s="5">
        <f t="shared" si="3"/>
        <v>245</v>
      </c>
      <c r="J126" s="5">
        <v>500</v>
      </c>
      <c r="K126" s="6">
        <f t="shared" si="4"/>
        <v>0.49</v>
      </c>
      <c r="L126" s="7">
        <f t="shared" si="5"/>
        <v>0.51</v>
      </c>
    </row>
    <row r="127" spans="1:12" x14ac:dyDescent="0.25">
      <c r="A127" s="2" t="s">
        <v>268</v>
      </c>
      <c r="B127" s="3" t="s">
        <v>269</v>
      </c>
      <c r="C127" s="3" t="s">
        <v>26</v>
      </c>
      <c r="D127" s="4">
        <v>31</v>
      </c>
      <c r="E127" s="4">
        <v>55</v>
      </c>
      <c r="F127" s="4">
        <v>75</v>
      </c>
      <c r="G127" s="4">
        <v>66</v>
      </c>
      <c r="H127" s="4">
        <v>75</v>
      </c>
      <c r="I127" s="5">
        <f t="shared" si="3"/>
        <v>302</v>
      </c>
      <c r="J127" s="5">
        <v>500</v>
      </c>
      <c r="K127" s="6">
        <f t="shared" si="4"/>
        <v>0.60399999999999998</v>
      </c>
      <c r="L127" s="7">
        <f t="shared" si="5"/>
        <v>0.39600000000000002</v>
      </c>
    </row>
    <row r="128" spans="1:12" x14ac:dyDescent="0.25">
      <c r="A128" s="2" t="s">
        <v>270</v>
      </c>
      <c r="B128" s="3" t="s">
        <v>271</v>
      </c>
      <c r="C128" s="3" t="s">
        <v>29</v>
      </c>
      <c r="D128" s="4">
        <v>41</v>
      </c>
      <c r="E128" s="4">
        <v>66</v>
      </c>
      <c r="F128" s="4">
        <v>48</v>
      </c>
      <c r="G128" s="4">
        <v>70</v>
      </c>
      <c r="H128" s="4">
        <v>48</v>
      </c>
      <c r="I128" s="5">
        <f t="shared" si="3"/>
        <v>273</v>
      </c>
      <c r="J128" s="5">
        <v>500</v>
      </c>
      <c r="K128" s="6">
        <f t="shared" si="4"/>
        <v>0.54600000000000004</v>
      </c>
      <c r="L128" s="7">
        <f t="shared" si="5"/>
        <v>0.45399999999999996</v>
      </c>
    </row>
    <row r="129" spans="1:12" x14ac:dyDescent="0.25">
      <c r="A129" s="2" t="s">
        <v>272</v>
      </c>
      <c r="B129" s="3" t="s">
        <v>273</v>
      </c>
      <c r="C129" s="3" t="s">
        <v>32</v>
      </c>
      <c r="D129" s="4">
        <v>60</v>
      </c>
      <c r="E129" s="4">
        <v>92</v>
      </c>
      <c r="F129" s="4">
        <v>32</v>
      </c>
      <c r="G129" s="4">
        <v>60</v>
      </c>
      <c r="H129" s="4">
        <v>78</v>
      </c>
      <c r="I129" s="5">
        <f t="shared" si="3"/>
        <v>322</v>
      </c>
      <c r="J129" s="5">
        <v>500</v>
      </c>
      <c r="K129" s="6">
        <f t="shared" si="4"/>
        <v>0.64400000000000002</v>
      </c>
      <c r="L129" s="7">
        <f t="shared" si="5"/>
        <v>0.35599999999999998</v>
      </c>
    </row>
    <row r="130" spans="1:12" x14ac:dyDescent="0.25">
      <c r="A130" s="2" t="s">
        <v>274</v>
      </c>
      <c r="B130" s="3" t="s">
        <v>275</v>
      </c>
      <c r="C130" s="3" t="s">
        <v>35</v>
      </c>
      <c r="D130" s="4">
        <v>42</v>
      </c>
      <c r="E130" s="4">
        <v>24</v>
      </c>
      <c r="F130" s="4">
        <v>19</v>
      </c>
      <c r="G130" s="4">
        <v>82</v>
      </c>
      <c r="H130" s="4">
        <v>16</v>
      </c>
      <c r="I130" s="5">
        <f t="shared" si="3"/>
        <v>183</v>
      </c>
      <c r="J130" s="5">
        <v>500</v>
      </c>
      <c r="K130" s="6">
        <f t="shared" si="4"/>
        <v>0.36599999999999999</v>
      </c>
      <c r="L130" s="7">
        <f t="shared" si="5"/>
        <v>0.63400000000000001</v>
      </c>
    </row>
    <row r="131" spans="1:12" x14ac:dyDescent="0.25">
      <c r="A131" s="2" t="s">
        <v>276</v>
      </c>
      <c r="B131" s="3" t="s">
        <v>277</v>
      </c>
      <c r="C131" s="3" t="s">
        <v>14</v>
      </c>
      <c r="D131" s="4">
        <v>26</v>
      </c>
      <c r="E131" s="4">
        <v>85</v>
      </c>
      <c r="F131" s="4">
        <v>75</v>
      </c>
      <c r="G131" s="4">
        <v>83</v>
      </c>
      <c r="H131" s="4">
        <v>37</v>
      </c>
      <c r="I131" s="5">
        <f t="shared" si="3"/>
        <v>306</v>
      </c>
      <c r="J131" s="5">
        <v>500</v>
      </c>
      <c r="K131" s="6">
        <f t="shared" si="4"/>
        <v>0.61199999999999999</v>
      </c>
      <c r="L131" s="7">
        <f t="shared" si="5"/>
        <v>0.38800000000000001</v>
      </c>
    </row>
    <row r="132" spans="1:12" x14ac:dyDescent="0.25">
      <c r="A132" s="2" t="s">
        <v>278</v>
      </c>
      <c r="B132" s="3" t="s">
        <v>279</v>
      </c>
      <c r="C132" s="3" t="s">
        <v>17</v>
      </c>
      <c r="D132" s="4">
        <v>81</v>
      </c>
      <c r="E132" s="4">
        <v>68</v>
      </c>
      <c r="F132" s="4">
        <v>74</v>
      </c>
      <c r="G132" s="4">
        <v>72</v>
      </c>
      <c r="H132" s="4">
        <v>12</v>
      </c>
      <c r="I132" s="5">
        <f t="shared" ref="I132:I143" si="6">SUM(D132:H132)</f>
        <v>307</v>
      </c>
      <c r="J132" s="5">
        <v>500</v>
      </c>
      <c r="K132" s="6">
        <f t="shared" ref="K132:K143" si="7">I132/J132</f>
        <v>0.61399999999999999</v>
      </c>
      <c r="L132" s="7">
        <f t="shared" ref="L132:L143" si="8">100%-K132</f>
        <v>0.38600000000000001</v>
      </c>
    </row>
    <row r="133" spans="1:12" x14ac:dyDescent="0.25">
      <c r="A133" s="2" t="s">
        <v>280</v>
      </c>
      <c r="B133" s="3" t="s">
        <v>281</v>
      </c>
      <c r="C133" s="3" t="s">
        <v>20</v>
      </c>
      <c r="D133" s="4">
        <v>90</v>
      </c>
      <c r="E133" s="4">
        <v>79</v>
      </c>
      <c r="F133" s="4">
        <v>99</v>
      </c>
      <c r="G133" s="4">
        <v>60</v>
      </c>
      <c r="H133" s="4">
        <v>27</v>
      </c>
      <c r="I133" s="5">
        <f t="shared" si="6"/>
        <v>355</v>
      </c>
      <c r="J133" s="5">
        <v>500</v>
      </c>
      <c r="K133" s="6">
        <f t="shared" si="7"/>
        <v>0.71</v>
      </c>
      <c r="L133" s="7">
        <f t="shared" si="8"/>
        <v>0.29000000000000004</v>
      </c>
    </row>
    <row r="134" spans="1:12" x14ac:dyDescent="0.25">
      <c r="A134" s="2" t="s">
        <v>282</v>
      </c>
      <c r="B134" s="3" t="s">
        <v>283</v>
      </c>
      <c r="C134" s="3" t="s">
        <v>23</v>
      </c>
      <c r="D134" s="4">
        <v>71</v>
      </c>
      <c r="E134" s="4">
        <v>21</v>
      </c>
      <c r="F134" s="4">
        <v>70</v>
      </c>
      <c r="G134" s="4">
        <v>53</v>
      </c>
      <c r="H134" s="4">
        <v>49</v>
      </c>
      <c r="I134" s="5">
        <f t="shared" si="6"/>
        <v>264</v>
      </c>
      <c r="J134" s="5">
        <v>500</v>
      </c>
      <c r="K134" s="6">
        <f t="shared" si="7"/>
        <v>0.52800000000000002</v>
      </c>
      <c r="L134" s="7">
        <f t="shared" si="8"/>
        <v>0.47199999999999998</v>
      </c>
    </row>
    <row r="135" spans="1:12" x14ac:dyDescent="0.25">
      <c r="A135" s="2" t="s">
        <v>284</v>
      </c>
      <c r="B135" s="3" t="s">
        <v>285</v>
      </c>
      <c r="C135" s="3" t="s">
        <v>26</v>
      </c>
      <c r="D135" s="4">
        <v>86</v>
      </c>
      <c r="E135" s="4">
        <v>60</v>
      </c>
      <c r="F135" s="4">
        <v>59</v>
      </c>
      <c r="G135" s="4">
        <v>51</v>
      </c>
      <c r="H135" s="4">
        <v>90</v>
      </c>
      <c r="I135" s="5">
        <f t="shared" si="6"/>
        <v>346</v>
      </c>
      <c r="J135" s="5">
        <v>500</v>
      </c>
      <c r="K135" s="6">
        <f t="shared" si="7"/>
        <v>0.69199999999999995</v>
      </c>
      <c r="L135" s="7">
        <f t="shared" si="8"/>
        <v>0.30800000000000005</v>
      </c>
    </row>
    <row r="136" spans="1:12" x14ac:dyDescent="0.25">
      <c r="A136" s="2" t="s">
        <v>286</v>
      </c>
      <c r="B136" s="3" t="s">
        <v>287</v>
      </c>
      <c r="C136" s="3" t="s">
        <v>29</v>
      </c>
      <c r="D136" s="4">
        <v>68</v>
      </c>
      <c r="E136" s="4">
        <v>61</v>
      </c>
      <c r="F136" s="4">
        <v>12</v>
      </c>
      <c r="G136" s="4">
        <v>41</v>
      </c>
      <c r="H136" s="4">
        <v>35</v>
      </c>
      <c r="I136" s="5">
        <f t="shared" si="6"/>
        <v>217</v>
      </c>
      <c r="J136" s="5">
        <v>500</v>
      </c>
      <c r="K136" s="6">
        <f t="shared" si="7"/>
        <v>0.434</v>
      </c>
      <c r="L136" s="7">
        <f t="shared" si="8"/>
        <v>0.56600000000000006</v>
      </c>
    </row>
    <row r="137" spans="1:12" x14ac:dyDescent="0.25">
      <c r="A137" s="2" t="s">
        <v>288</v>
      </c>
      <c r="B137" s="3" t="s">
        <v>289</v>
      </c>
      <c r="C137" s="3" t="s">
        <v>32</v>
      </c>
      <c r="D137" s="4">
        <v>65</v>
      </c>
      <c r="E137" s="4">
        <v>34</v>
      </c>
      <c r="F137" s="4">
        <v>15</v>
      </c>
      <c r="G137" s="4">
        <v>86</v>
      </c>
      <c r="H137" s="4">
        <v>71</v>
      </c>
      <c r="I137" s="5">
        <f t="shared" si="6"/>
        <v>271</v>
      </c>
      <c r="J137" s="5">
        <v>500</v>
      </c>
      <c r="K137" s="6">
        <f t="shared" si="7"/>
        <v>0.54200000000000004</v>
      </c>
      <c r="L137" s="7">
        <f t="shared" si="8"/>
        <v>0.45799999999999996</v>
      </c>
    </row>
    <row r="138" spans="1:12" x14ac:dyDescent="0.25">
      <c r="A138" s="2" t="s">
        <v>290</v>
      </c>
      <c r="B138" s="3" t="s">
        <v>291</v>
      </c>
      <c r="C138" s="3" t="s">
        <v>35</v>
      </c>
      <c r="D138" s="4">
        <v>91</v>
      </c>
      <c r="E138" s="4">
        <v>21</v>
      </c>
      <c r="F138" s="4">
        <v>59</v>
      </c>
      <c r="G138" s="4">
        <v>85</v>
      </c>
      <c r="H138" s="4">
        <v>60</v>
      </c>
      <c r="I138" s="5">
        <f t="shared" si="6"/>
        <v>316</v>
      </c>
      <c r="J138" s="5">
        <v>500</v>
      </c>
      <c r="K138" s="6">
        <f t="shared" si="7"/>
        <v>0.63200000000000001</v>
      </c>
      <c r="L138" s="7">
        <f t="shared" si="8"/>
        <v>0.36799999999999999</v>
      </c>
    </row>
    <row r="139" spans="1:12" x14ac:dyDescent="0.25">
      <c r="A139" s="2" t="s">
        <v>292</v>
      </c>
      <c r="B139" s="3" t="s">
        <v>293</v>
      </c>
      <c r="C139" s="3" t="s">
        <v>14</v>
      </c>
      <c r="D139" s="4">
        <v>73</v>
      </c>
      <c r="E139" s="4">
        <v>67</v>
      </c>
      <c r="F139" s="4">
        <v>49</v>
      </c>
      <c r="G139" s="4">
        <v>56</v>
      </c>
      <c r="H139" s="4">
        <v>43</v>
      </c>
      <c r="I139" s="5">
        <f t="shared" si="6"/>
        <v>288</v>
      </c>
      <c r="J139" s="5">
        <v>500</v>
      </c>
      <c r="K139" s="6">
        <f t="shared" si="7"/>
        <v>0.57599999999999996</v>
      </c>
      <c r="L139" s="7">
        <f t="shared" si="8"/>
        <v>0.42400000000000004</v>
      </c>
    </row>
    <row r="140" spans="1:12" x14ac:dyDescent="0.25">
      <c r="A140" s="2" t="s">
        <v>294</v>
      </c>
      <c r="B140" s="3" t="s">
        <v>295</v>
      </c>
      <c r="C140" s="3" t="s">
        <v>17</v>
      </c>
      <c r="D140" s="4">
        <v>72</v>
      </c>
      <c r="E140" s="4">
        <v>49</v>
      </c>
      <c r="F140" s="4">
        <v>93</v>
      </c>
      <c r="G140" s="4">
        <v>95</v>
      </c>
      <c r="H140" s="4">
        <v>73</v>
      </c>
      <c r="I140" s="5">
        <f t="shared" si="6"/>
        <v>382</v>
      </c>
      <c r="J140" s="5">
        <v>500</v>
      </c>
      <c r="K140" s="6">
        <f t="shared" si="7"/>
        <v>0.76400000000000001</v>
      </c>
      <c r="L140" s="7">
        <f t="shared" si="8"/>
        <v>0.23599999999999999</v>
      </c>
    </row>
    <row r="141" spans="1:12" x14ac:dyDescent="0.25">
      <c r="A141" s="2" t="s">
        <v>296</v>
      </c>
      <c r="B141" s="3" t="s">
        <v>297</v>
      </c>
      <c r="C141" s="3" t="s">
        <v>20</v>
      </c>
      <c r="D141" s="4">
        <v>85</v>
      </c>
      <c r="E141" s="4">
        <v>43</v>
      </c>
      <c r="F141" s="4">
        <v>74</v>
      </c>
      <c r="G141" s="4">
        <v>26</v>
      </c>
      <c r="H141" s="4">
        <v>88</v>
      </c>
      <c r="I141" s="5">
        <f t="shared" si="6"/>
        <v>316</v>
      </c>
      <c r="J141" s="5">
        <v>500</v>
      </c>
      <c r="K141" s="6">
        <f t="shared" si="7"/>
        <v>0.63200000000000001</v>
      </c>
      <c r="L141" s="7">
        <f t="shared" si="8"/>
        <v>0.36799999999999999</v>
      </c>
    </row>
    <row r="142" spans="1:12" x14ac:dyDescent="0.25">
      <c r="A142" s="2" t="s">
        <v>298</v>
      </c>
      <c r="B142" s="3" t="s">
        <v>299</v>
      </c>
      <c r="C142" s="3" t="s">
        <v>23</v>
      </c>
      <c r="D142" s="4">
        <v>77</v>
      </c>
      <c r="E142" s="4">
        <v>81</v>
      </c>
      <c r="F142" s="4">
        <v>10</v>
      </c>
      <c r="G142" s="4">
        <v>65</v>
      </c>
      <c r="H142" s="4">
        <v>83</v>
      </c>
      <c r="I142" s="5">
        <f t="shared" si="6"/>
        <v>316</v>
      </c>
      <c r="J142" s="5">
        <v>500</v>
      </c>
      <c r="K142" s="6">
        <f t="shared" si="7"/>
        <v>0.63200000000000001</v>
      </c>
      <c r="L142" s="7">
        <f t="shared" si="8"/>
        <v>0.36799999999999999</v>
      </c>
    </row>
    <row r="143" spans="1:12" x14ac:dyDescent="0.25">
      <c r="A143" s="2" t="s">
        <v>300</v>
      </c>
      <c r="B143" s="3" t="s">
        <v>301</v>
      </c>
      <c r="C143" s="3" t="s">
        <v>26</v>
      </c>
      <c r="D143" s="4">
        <v>46</v>
      </c>
      <c r="E143" s="4">
        <v>52</v>
      </c>
      <c r="F143" s="4">
        <v>57</v>
      </c>
      <c r="G143" s="4">
        <v>67</v>
      </c>
      <c r="H143" s="4">
        <v>64</v>
      </c>
      <c r="I143" s="5">
        <f t="shared" si="6"/>
        <v>286</v>
      </c>
      <c r="J143" s="5">
        <v>500</v>
      </c>
      <c r="K143" s="6">
        <f t="shared" si="7"/>
        <v>0.57199999999999995</v>
      </c>
      <c r="L143" s="7">
        <f t="shared" si="8"/>
        <v>0.42800000000000005</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230FF7-C1AE-49D3-851C-4A72532BC217}">
  <sheetPr codeName="Sheet3"/>
  <dimension ref="A3:AJ58"/>
  <sheetViews>
    <sheetView topLeftCell="A49" zoomScaleNormal="100" workbookViewId="0">
      <selection activeCell="A61" sqref="A61:C70"/>
    </sheetView>
  </sheetViews>
  <sheetFormatPr defaultRowHeight="15" x14ac:dyDescent="0.25"/>
  <cols>
    <col min="1" max="1" width="13.140625" bestFit="1" customWidth="1"/>
    <col min="2" max="2" width="13.28515625" bestFit="1" customWidth="1"/>
    <col min="3" max="5" width="9" bestFit="1" customWidth="1"/>
    <col min="6" max="6" width="8.7109375" bestFit="1" customWidth="1"/>
    <col min="7" max="7" width="3" bestFit="1" customWidth="1"/>
    <col min="8" max="10" width="4" bestFit="1" customWidth="1"/>
    <col min="11" max="17" width="3" bestFit="1" customWidth="1"/>
    <col min="18" max="18" width="4" bestFit="1" customWidth="1"/>
    <col min="19" max="19" width="3" bestFit="1" customWidth="1"/>
    <col min="20" max="20" width="4" bestFit="1" customWidth="1"/>
    <col min="21" max="21" width="3" bestFit="1" customWidth="1"/>
    <col min="22" max="22" width="4" bestFit="1" customWidth="1"/>
    <col min="23" max="23" width="3" bestFit="1" customWidth="1"/>
    <col min="24" max="24" width="4" bestFit="1" customWidth="1"/>
    <col min="25" max="27" width="3" bestFit="1" customWidth="1"/>
    <col min="28" max="29" width="4" bestFit="1" customWidth="1"/>
    <col min="30" max="30" width="3" bestFit="1" customWidth="1"/>
    <col min="31" max="32" width="4" bestFit="1" customWidth="1"/>
    <col min="33" max="33" width="3" bestFit="1" customWidth="1"/>
    <col min="34" max="35" width="4" bestFit="1" customWidth="1"/>
    <col min="36" max="36" width="3" bestFit="1" customWidth="1"/>
    <col min="37" max="38" width="4" bestFit="1" customWidth="1"/>
    <col min="39" max="41" width="3" bestFit="1" customWidth="1"/>
    <col min="42" max="42" width="4" bestFit="1" customWidth="1"/>
    <col min="43" max="43" width="3" bestFit="1" customWidth="1"/>
    <col min="44" max="44" width="4" bestFit="1" customWidth="1"/>
    <col min="45" max="47" width="3" bestFit="1" customWidth="1"/>
    <col min="48" max="50" width="4" bestFit="1" customWidth="1"/>
    <col min="51" max="51" width="3" bestFit="1" customWidth="1"/>
    <col min="52" max="52" width="4" bestFit="1" customWidth="1"/>
    <col min="53" max="58" width="3" bestFit="1" customWidth="1"/>
    <col min="59" max="60" width="4" bestFit="1" customWidth="1"/>
    <col min="61" max="61" width="3" bestFit="1" customWidth="1"/>
    <col min="62" max="62" width="4" bestFit="1" customWidth="1"/>
    <col min="63" max="65" width="3" bestFit="1" customWidth="1"/>
    <col min="66" max="66" width="4" bestFit="1" customWidth="1"/>
    <col min="67" max="67" width="3" bestFit="1" customWidth="1"/>
    <col min="68" max="70" width="4" bestFit="1" customWidth="1"/>
    <col min="71" max="71" width="11.85546875" bestFit="1" customWidth="1"/>
    <col min="72" max="72" width="4" bestFit="1" customWidth="1"/>
    <col min="73" max="74" width="3" bestFit="1" customWidth="1"/>
    <col min="75" max="75" width="4" bestFit="1" customWidth="1"/>
    <col min="76" max="76" width="3" bestFit="1" customWidth="1"/>
    <col min="77" max="80" width="4" bestFit="1" customWidth="1"/>
    <col min="81" max="82" width="3" bestFit="1" customWidth="1"/>
    <col min="83" max="83" width="4" bestFit="1" customWidth="1"/>
    <col min="84" max="86" width="3" bestFit="1" customWidth="1"/>
    <col min="87" max="88" width="4" bestFit="1" customWidth="1"/>
    <col min="89" max="90" width="3" bestFit="1" customWidth="1"/>
    <col min="91" max="91" width="4" bestFit="1" customWidth="1"/>
    <col min="92" max="92" width="3" bestFit="1" customWidth="1"/>
    <col min="93" max="93" width="4" bestFit="1" customWidth="1"/>
    <col min="94" max="94" width="3" bestFit="1" customWidth="1"/>
    <col min="95" max="95" width="4" bestFit="1" customWidth="1"/>
    <col min="96" max="96" width="3" bestFit="1" customWidth="1"/>
    <col min="97" max="98" width="4" bestFit="1" customWidth="1"/>
    <col min="99" max="99" width="3" bestFit="1" customWidth="1"/>
    <col min="100" max="101" width="4" bestFit="1" customWidth="1"/>
    <col min="102" max="102" width="3" bestFit="1" customWidth="1"/>
    <col min="103" max="103" width="4" bestFit="1" customWidth="1"/>
    <col min="104" max="106" width="3" bestFit="1" customWidth="1"/>
    <col min="107" max="108" width="4" bestFit="1" customWidth="1"/>
    <col min="109" max="114" width="3" bestFit="1" customWidth="1"/>
    <col min="115" max="115" width="4" bestFit="1" customWidth="1"/>
    <col min="116" max="116" width="3" bestFit="1" customWidth="1"/>
    <col min="117" max="120" width="4" bestFit="1" customWidth="1"/>
    <col min="121" max="127" width="3" bestFit="1" customWidth="1"/>
    <col min="128" max="128" width="4" bestFit="1" customWidth="1"/>
    <col min="129" max="132" width="3" bestFit="1" customWidth="1"/>
    <col min="133" max="133" width="4" bestFit="1" customWidth="1"/>
    <col min="134" max="134" width="3" bestFit="1" customWidth="1"/>
    <col min="135" max="135" width="4" bestFit="1" customWidth="1"/>
    <col min="136" max="137" width="3" bestFit="1" customWidth="1"/>
    <col min="138" max="139" width="4" bestFit="1" customWidth="1"/>
    <col min="140" max="141" width="16.85546875" bestFit="1" customWidth="1"/>
    <col min="142" max="143" width="3" bestFit="1" customWidth="1"/>
    <col min="144" max="144" width="4" bestFit="1" customWidth="1"/>
    <col min="145" max="145" width="3" bestFit="1" customWidth="1"/>
    <col min="146" max="149" width="4" bestFit="1" customWidth="1"/>
    <col min="150" max="151" width="3" bestFit="1" customWidth="1"/>
    <col min="152" max="152" width="4" bestFit="1" customWidth="1"/>
    <col min="153" max="155" width="3" bestFit="1" customWidth="1"/>
    <col min="156" max="157" width="4" bestFit="1" customWidth="1"/>
    <col min="158" max="159" width="3" bestFit="1" customWidth="1"/>
    <col min="160" max="160" width="4" bestFit="1" customWidth="1"/>
    <col min="161" max="161" width="3" bestFit="1" customWidth="1"/>
    <col min="162" max="162" width="4" bestFit="1" customWidth="1"/>
    <col min="163" max="163" width="3" bestFit="1" customWidth="1"/>
    <col min="164" max="164" width="4" bestFit="1" customWidth="1"/>
    <col min="165" max="165" width="3" bestFit="1" customWidth="1"/>
    <col min="166" max="167" width="4" bestFit="1" customWidth="1"/>
    <col min="168" max="168" width="3" bestFit="1" customWidth="1"/>
    <col min="169" max="170" width="4" bestFit="1" customWidth="1"/>
    <col min="171" max="171" width="3" bestFit="1" customWidth="1"/>
    <col min="172" max="172" width="4" bestFit="1" customWidth="1"/>
    <col min="173" max="175" width="3" bestFit="1" customWidth="1"/>
    <col min="176" max="177" width="4" bestFit="1" customWidth="1"/>
    <col min="178" max="183" width="3" bestFit="1" customWidth="1"/>
    <col min="184" max="184" width="4" bestFit="1" customWidth="1"/>
    <col min="185" max="185" width="3" bestFit="1" customWidth="1"/>
    <col min="186" max="189" width="4" bestFit="1" customWidth="1"/>
    <col min="190" max="196" width="3" bestFit="1" customWidth="1"/>
    <col min="197" max="197" width="4" bestFit="1" customWidth="1"/>
    <col min="198" max="201" width="3" bestFit="1" customWidth="1"/>
    <col min="202" max="202" width="4" bestFit="1" customWidth="1"/>
    <col min="203" max="203" width="3" bestFit="1" customWidth="1"/>
    <col min="204" max="204" width="4" bestFit="1" customWidth="1"/>
    <col min="205" max="206" width="3" bestFit="1" customWidth="1"/>
    <col min="207" max="208" width="4" bestFit="1" customWidth="1"/>
    <col min="209" max="211" width="16.85546875" bestFit="1" customWidth="1"/>
  </cols>
  <sheetData>
    <row r="3" spans="1:36" x14ac:dyDescent="0.25">
      <c r="A3" s="24" t="s">
        <v>311</v>
      </c>
      <c r="B3" s="29" t="s">
        <v>313</v>
      </c>
      <c r="C3" s="43" t="s">
        <v>314</v>
      </c>
      <c r="D3" s="43" t="s">
        <v>315</v>
      </c>
      <c r="E3" s="43" t="s">
        <v>316</v>
      </c>
      <c r="F3" s="30" t="s">
        <v>317</v>
      </c>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3"/>
    </row>
    <row r="4" spans="1:36" x14ac:dyDescent="0.25">
      <c r="A4" s="25" t="s">
        <v>23</v>
      </c>
      <c r="B4" s="39">
        <v>1191</v>
      </c>
      <c r="C4" s="40">
        <v>969</v>
      </c>
      <c r="D4" s="40">
        <v>904</v>
      </c>
      <c r="E4" s="40">
        <v>1103</v>
      </c>
      <c r="F4" s="41">
        <v>896</v>
      </c>
      <c r="AJ4" s="14"/>
    </row>
    <row r="5" spans="1:36" x14ac:dyDescent="0.25">
      <c r="A5" s="26" t="s">
        <v>17</v>
      </c>
      <c r="B5" s="47">
        <v>793</v>
      </c>
      <c r="C5" s="35">
        <v>1144</v>
      </c>
      <c r="D5" s="35">
        <v>1061</v>
      </c>
      <c r="E5" s="35">
        <v>1089</v>
      </c>
      <c r="F5" s="36">
        <v>878</v>
      </c>
      <c r="AJ5" s="14"/>
    </row>
    <row r="6" spans="1:36" x14ac:dyDescent="0.25">
      <c r="A6" s="26" t="s">
        <v>14</v>
      </c>
      <c r="B6" s="47">
        <v>1026</v>
      </c>
      <c r="C6" s="35">
        <v>1162</v>
      </c>
      <c r="D6" s="35">
        <v>981</v>
      </c>
      <c r="E6" s="35">
        <v>1129</v>
      </c>
      <c r="F6" s="36">
        <v>899</v>
      </c>
      <c r="AJ6" s="14"/>
    </row>
    <row r="7" spans="1:36" x14ac:dyDescent="0.25">
      <c r="A7" s="26" t="s">
        <v>20</v>
      </c>
      <c r="B7" s="47">
        <v>1081</v>
      </c>
      <c r="C7" s="35">
        <v>1111</v>
      </c>
      <c r="D7" s="35">
        <v>1097</v>
      </c>
      <c r="E7" s="35">
        <v>997</v>
      </c>
      <c r="F7" s="36">
        <v>962</v>
      </c>
      <c r="AJ7" s="14"/>
    </row>
    <row r="8" spans="1:36" x14ac:dyDescent="0.25">
      <c r="A8" s="26" t="s">
        <v>29</v>
      </c>
      <c r="B8" s="47">
        <v>1075</v>
      </c>
      <c r="C8" s="35">
        <v>827</v>
      </c>
      <c r="D8" s="35">
        <v>825</v>
      </c>
      <c r="E8" s="35">
        <v>888</v>
      </c>
      <c r="F8" s="36">
        <v>982</v>
      </c>
      <c r="AJ8" s="14"/>
    </row>
    <row r="9" spans="1:36" x14ac:dyDescent="0.25">
      <c r="A9" s="26" t="s">
        <v>26</v>
      </c>
      <c r="B9" s="47">
        <v>1024</v>
      </c>
      <c r="C9" s="35">
        <v>1026</v>
      </c>
      <c r="D9" s="35">
        <v>834</v>
      </c>
      <c r="E9" s="35">
        <v>1113</v>
      </c>
      <c r="F9" s="36">
        <v>1070</v>
      </c>
      <c r="AJ9" s="14"/>
    </row>
    <row r="10" spans="1:36" x14ac:dyDescent="0.25">
      <c r="A10" s="26" t="s">
        <v>32</v>
      </c>
      <c r="B10" s="47">
        <v>865</v>
      </c>
      <c r="C10" s="35">
        <v>827</v>
      </c>
      <c r="D10" s="35">
        <v>799</v>
      </c>
      <c r="E10" s="35">
        <v>1022</v>
      </c>
      <c r="F10" s="36">
        <v>783</v>
      </c>
      <c r="AJ10" s="14"/>
    </row>
    <row r="11" spans="1:36" x14ac:dyDescent="0.25">
      <c r="A11" s="27" t="s">
        <v>35</v>
      </c>
      <c r="B11" s="47">
        <v>867</v>
      </c>
      <c r="C11" s="35">
        <v>899</v>
      </c>
      <c r="D11" s="35">
        <v>882</v>
      </c>
      <c r="E11" s="35">
        <v>982</v>
      </c>
      <c r="F11" s="36">
        <v>882</v>
      </c>
      <c r="AJ11" s="14"/>
    </row>
    <row r="12" spans="1:36" x14ac:dyDescent="0.25">
      <c r="A12" s="28" t="s">
        <v>312</v>
      </c>
      <c r="B12" s="42">
        <v>7922</v>
      </c>
      <c r="C12" s="37">
        <v>7965</v>
      </c>
      <c r="D12" s="37">
        <v>7383</v>
      </c>
      <c r="E12" s="37">
        <v>8323</v>
      </c>
      <c r="F12" s="38">
        <v>7352</v>
      </c>
      <c r="AJ12" s="14"/>
    </row>
    <row r="13" spans="1:36" x14ac:dyDescent="0.25">
      <c r="A13" s="15"/>
      <c r="AJ13" s="14"/>
    </row>
    <row r="14" spans="1:36" x14ac:dyDescent="0.25">
      <c r="A14" s="15"/>
      <c r="AJ14" s="14"/>
    </row>
    <row r="15" spans="1:36" x14ac:dyDescent="0.25">
      <c r="A15" s="15"/>
      <c r="AJ15" s="14"/>
    </row>
    <row r="16" spans="1:36" x14ac:dyDescent="0.25">
      <c r="A16" s="15"/>
      <c r="AJ16" s="14"/>
    </row>
    <row r="17" spans="1:36" x14ac:dyDescent="0.25">
      <c r="A17" s="15"/>
      <c r="AJ17" s="14"/>
    </row>
    <row r="18" spans="1:36" x14ac:dyDescent="0.25">
      <c r="A18" s="15"/>
      <c r="AJ18" s="14"/>
    </row>
    <row r="19" spans="1:36" x14ac:dyDescent="0.25">
      <c r="A19" s="15"/>
      <c r="AJ19" s="14"/>
    </row>
    <row r="20" spans="1:36" x14ac:dyDescent="0.25">
      <c r="A20" s="15"/>
      <c r="AJ20" s="14"/>
    </row>
    <row r="21" spans="1:36" x14ac:dyDescent="0.25">
      <c r="A21" s="15"/>
      <c r="AJ21" s="14"/>
    </row>
    <row r="22" spans="1:36" x14ac:dyDescent="0.25">
      <c r="A22" s="15"/>
      <c r="AJ22" s="14"/>
    </row>
    <row r="23" spans="1:36" x14ac:dyDescent="0.25">
      <c r="A23" s="15"/>
      <c r="AJ23" s="14"/>
    </row>
    <row r="24" spans="1:36" x14ac:dyDescent="0.25">
      <c r="A24" s="15"/>
      <c r="AJ24" s="14"/>
    </row>
    <row r="25" spans="1:36" x14ac:dyDescent="0.25">
      <c r="A25" s="16"/>
      <c r="B25" s="17"/>
      <c r="C25" s="17"/>
      <c r="D25" s="17"/>
      <c r="E25" s="17"/>
      <c r="F25" s="17"/>
      <c r="G25" s="17"/>
      <c r="H25" s="17"/>
      <c r="I25" s="17"/>
      <c r="J25" s="17"/>
      <c r="K25" s="17"/>
      <c r="L25" s="17"/>
      <c r="M25" s="17"/>
      <c r="N25" s="17"/>
      <c r="O25" s="17"/>
      <c r="P25" s="17"/>
      <c r="Q25" s="17"/>
      <c r="R25" s="17"/>
      <c r="S25" s="17"/>
      <c r="T25" s="17"/>
      <c r="U25" s="17"/>
      <c r="V25" s="17"/>
      <c r="W25" s="17"/>
      <c r="X25" s="17"/>
      <c r="Y25" s="17"/>
      <c r="Z25" s="17"/>
      <c r="AA25" s="17"/>
      <c r="AB25" s="17"/>
      <c r="AC25" s="17"/>
      <c r="AD25" s="17"/>
      <c r="AE25" s="17"/>
      <c r="AF25" s="17"/>
      <c r="AG25" s="17"/>
      <c r="AH25" s="17"/>
      <c r="AI25" s="17"/>
      <c r="AJ25" s="18"/>
    </row>
    <row r="27" spans="1:36" x14ac:dyDescent="0.25">
      <c r="A27" s="19"/>
      <c r="B27" s="12"/>
      <c r="C27" s="12"/>
      <c r="D27" s="12"/>
      <c r="E27" s="12"/>
      <c r="F27" s="12"/>
      <c r="G27" s="12"/>
      <c r="H27" s="12"/>
      <c r="I27" s="12"/>
      <c r="J27" s="12"/>
      <c r="K27" s="12"/>
      <c r="L27" s="12"/>
      <c r="M27" s="12"/>
      <c r="N27" s="13"/>
    </row>
    <row r="28" spans="1:36" x14ac:dyDescent="0.25">
      <c r="A28" s="15"/>
      <c r="N28" s="14"/>
    </row>
    <row r="29" spans="1:36" x14ac:dyDescent="0.25">
      <c r="A29" s="24" t="s">
        <v>311</v>
      </c>
      <c r="B29" s="46" t="s">
        <v>318</v>
      </c>
      <c r="N29" s="14"/>
    </row>
    <row r="30" spans="1:36" x14ac:dyDescent="0.25">
      <c r="A30" s="25" t="s">
        <v>23</v>
      </c>
      <c r="B30" s="44">
        <v>5063</v>
      </c>
      <c r="N30" s="14"/>
    </row>
    <row r="31" spans="1:36" x14ac:dyDescent="0.25">
      <c r="A31" s="26" t="s">
        <v>17</v>
      </c>
      <c r="B31" s="48">
        <v>4965</v>
      </c>
      <c r="N31" s="14"/>
    </row>
    <row r="32" spans="1:36" x14ac:dyDescent="0.25">
      <c r="A32" s="26" t="s">
        <v>14</v>
      </c>
      <c r="B32" s="48">
        <v>5197</v>
      </c>
      <c r="N32" s="14"/>
    </row>
    <row r="33" spans="1:20" x14ac:dyDescent="0.25">
      <c r="A33" s="26" t="s">
        <v>20</v>
      </c>
      <c r="B33" s="48">
        <v>5248</v>
      </c>
      <c r="N33" s="14"/>
    </row>
    <row r="34" spans="1:20" x14ac:dyDescent="0.25">
      <c r="A34" s="26" t="s">
        <v>29</v>
      </c>
      <c r="B34" s="48">
        <v>4597</v>
      </c>
      <c r="N34" s="14"/>
    </row>
    <row r="35" spans="1:20" x14ac:dyDescent="0.25">
      <c r="A35" s="26" t="s">
        <v>26</v>
      </c>
      <c r="B35" s="48">
        <v>5067</v>
      </c>
      <c r="N35" s="14"/>
    </row>
    <row r="36" spans="1:20" x14ac:dyDescent="0.25">
      <c r="A36" s="26" t="s">
        <v>32</v>
      </c>
      <c r="B36" s="48">
        <v>4296</v>
      </c>
      <c r="N36" s="14"/>
    </row>
    <row r="37" spans="1:20" x14ac:dyDescent="0.25">
      <c r="A37" s="27" t="s">
        <v>35</v>
      </c>
      <c r="B37" s="48">
        <v>4512</v>
      </c>
      <c r="N37" s="14"/>
    </row>
    <row r="38" spans="1:20" x14ac:dyDescent="0.25">
      <c r="A38" s="28" t="s">
        <v>312</v>
      </c>
      <c r="B38" s="45">
        <v>38945</v>
      </c>
      <c r="N38" s="14"/>
    </row>
    <row r="39" spans="1:20" x14ac:dyDescent="0.25">
      <c r="A39" s="15"/>
      <c r="N39" s="14"/>
    </row>
    <row r="40" spans="1:20" x14ac:dyDescent="0.25">
      <c r="A40" s="15"/>
      <c r="N40" s="14"/>
    </row>
    <row r="41" spans="1:20" x14ac:dyDescent="0.25">
      <c r="A41" s="16"/>
      <c r="B41" s="17"/>
      <c r="C41" s="17"/>
      <c r="D41" s="17"/>
      <c r="E41" s="17"/>
      <c r="F41" s="17"/>
      <c r="G41" s="17"/>
      <c r="H41" s="17"/>
      <c r="I41" s="17"/>
      <c r="J41" s="17"/>
      <c r="K41" s="17"/>
      <c r="L41" s="17"/>
      <c r="M41" s="17"/>
      <c r="N41" s="18"/>
    </row>
    <row r="43" spans="1:20" x14ac:dyDescent="0.25">
      <c r="A43" s="19"/>
      <c r="B43" s="12"/>
      <c r="C43" s="12"/>
      <c r="D43" s="12"/>
      <c r="E43" s="12"/>
      <c r="F43" s="12"/>
      <c r="G43" s="12"/>
      <c r="H43" s="12"/>
      <c r="I43" s="12"/>
      <c r="J43" s="12"/>
      <c r="K43" s="12"/>
      <c r="L43" s="12"/>
      <c r="M43" s="12"/>
      <c r="N43" s="12"/>
      <c r="O43" s="12"/>
      <c r="P43" s="12"/>
      <c r="Q43" s="12"/>
      <c r="R43" s="12"/>
      <c r="S43" s="12"/>
      <c r="T43" s="13"/>
    </row>
    <row r="44" spans="1:20" x14ac:dyDescent="0.25">
      <c r="A44" s="24" t="s">
        <v>311</v>
      </c>
      <c r="B44" s="29" t="s">
        <v>319</v>
      </c>
      <c r="C44" s="30" t="s">
        <v>320</v>
      </c>
      <c r="T44" s="14"/>
    </row>
    <row r="45" spans="1:20" x14ac:dyDescent="0.25">
      <c r="A45" s="25" t="s">
        <v>23</v>
      </c>
      <c r="B45" s="31">
        <v>0.1300038515855694</v>
      </c>
      <c r="C45" s="23">
        <v>0.12476628109649819</v>
      </c>
      <c r="T45" s="14"/>
    </row>
    <row r="46" spans="1:20" x14ac:dyDescent="0.25">
      <c r="A46" s="26" t="s">
        <v>17</v>
      </c>
      <c r="B46" s="32">
        <v>0.12748748234689949</v>
      </c>
      <c r="C46" s="21">
        <v>0.12787196957692917</v>
      </c>
      <c r="T46" s="14"/>
    </row>
    <row r="47" spans="1:20" x14ac:dyDescent="0.25">
      <c r="A47" s="26" t="s">
        <v>14</v>
      </c>
      <c r="B47" s="32">
        <v>0.13344460136089356</v>
      </c>
      <c r="C47" s="21">
        <v>0.1205197274599905</v>
      </c>
      <c r="T47" s="14"/>
    </row>
    <row r="48" spans="1:20" x14ac:dyDescent="0.25">
      <c r="A48" s="26" t="s">
        <v>20</v>
      </c>
      <c r="B48" s="32">
        <v>0.13475414045448711</v>
      </c>
      <c r="C48" s="21">
        <v>0.11890350182221519</v>
      </c>
      <c r="T48" s="14"/>
    </row>
    <row r="49" spans="1:20" x14ac:dyDescent="0.25">
      <c r="A49" s="26" t="s">
        <v>29</v>
      </c>
      <c r="B49" s="32">
        <v>0.11803825908332262</v>
      </c>
      <c r="C49" s="21">
        <v>0.12368879733798128</v>
      </c>
      <c r="T49" s="14"/>
    </row>
    <row r="50" spans="1:20" x14ac:dyDescent="0.25">
      <c r="A50" s="26" t="s">
        <v>26</v>
      </c>
      <c r="B50" s="32">
        <v>0.13010656053408651</v>
      </c>
      <c r="C50" s="21">
        <v>0.12463951830137855</v>
      </c>
      <c r="T50" s="14"/>
    </row>
    <row r="51" spans="1:20" x14ac:dyDescent="0.25">
      <c r="A51" s="26" t="s">
        <v>32</v>
      </c>
      <c r="B51" s="32">
        <v>0.11030941070740789</v>
      </c>
      <c r="C51" s="21">
        <v>0.13322769767073364</v>
      </c>
      <c r="T51" s="14"/>
    </row>
    <row r="52" spans="1:20" x14ac:dyDescent="0.25">
      <c r="A52" s="27" t="s">
        <v>35</v>
      </c>
      <c r="B52" s="32">
        <v>0.11585569392733343</v>
      </c>
      <c r="C52" s="21">
        <v>0.12638250673427348</v>
      </c>
      <c r="T52" s="14"/>
    </row>
    <row r="53" spans="1:20" x14ac:dyDescent="0.25">
      <c r="A53" s="28" t="s">
        <v>312</v>
      </c>
      <c r="B53" s="33">
        <v>1</v>
      </c>
      <c r="C53" s="22">
        <v>1</v>
      </c>
      <c r="T53" s="14"/>
    </row>
    <row r="54" spans="1:20" x14ac:dyDescent="0.25">
      <c r="A54" s="15"/>
      <c r="T54" s="14"/>
    </row>
    <row r="55" spans="1:20" x14ac:dyDescent="0.25">
      <c r="A55" s="15"/>
      <c r="T55" s="14"/>
    </row>
    <row r="56" spans="1:20" x14ac:dyDescent="0.25">
      <c r="A56" s="15"/>
      <c r="T56" s="14"/>
    </row>
    <row r="57" spans="1:20" x14ac:dyDescent="0.25">
      <c r="A57" s="15"/>
      <c r="T57" s="14"/>
    </row>
    <row r="58" spans="1:20" x14ac:dyDescent="0.25">
      <c r="A58" s="16"/>
      <c r="B58" s="17"/>
      <c r="C58" s="17"/>
      <c r="D58" s="17"/>
      <c r="E58" s="17"/>
      <c r="F58" s="17"/>
      <c r="G58" s="17"/>
      <c r="H58" s="17"/>
      <c r="I58" s="17"/>
      <c r="J58" s="17"/>
      <c r="K58" s="17"/>
      <c r="L58" s="17"/>
      <c r="M58" s="17"/>
      <c r="N58" s="17"/>
      <c r="O58" s="17"/>
      <c r="P58" s="17"/>
      <c r="Q58" s="17"/>
      <c r="R58" s="17"/>
      <c r="S58" s="17"/>
      <c r="T58" s="18"/>
    </row>
  </sheetData>
  <pageMargins left="0.7" right="0.7" top="0.75" bottom="0.75" header="0.3" footer="0.3"/>
  <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94C908-4C50-4FA9-8E64-F517B77239E2}">
  <sheetPr codeName="Sheet1">
    <pageSetUpPr autoPageBreaks="0"/>
  </sheetPr>
  <dimension ref="A1:K23"/>
  <sheetViews>
    <sheetView zoomScaleNormal="100" workbookViewId="0">
      <selection sqref="A1:B2"/>
    </sheetView>
  </sheetViews>
  <sheetFormatPr defaultRowHeight="15" x14ac:dyDescent="0.25"/>
  <cols>
    <col min="1" max="2" width="27.140625" customWidth="1"/>
    <col min="3" max="3" width="1.5703125" customWidth="1"/>
    <col min="4" max="5" width="27.140625" customWidth="1"/>
    <col min="6" max="6" width="1" customWidth="1"/>
    <col min="7" max="8" width="27.140625" customWidth="1"/>
    <col min="9" max="9" width="1" customWidth="1"/>
    <col min="10" max="11" width="27.140625" customWidth="1"/>
  </cols>
  <sheetData>
    <row r="1" spans="1:11" ht="33" customHeight="1" x14ac:dyDescent="0.25">
      <c r="A1" s="20" t="b">
        <v>1</v>
      </c>
      <c r="B1" s="20"/>
      <c r="D1" s="20" t="b">
        <v>1</v>
      </c>
      <c r="E1" s="20"/>
      <c r="G1" s="20" t="b">
        <v>1</v>
      </c>
      <c r="H1" s="20"/>
      <c r="J1" s="20" t="b">
        <v>1</v>
      </c>
      <c r="K1" s="20"/>
    </row>
    <row r="2" spans="1:11" ht="24" customHeight="1" x14ac:dyDescent="0.25">
      <c r="A2" s="20"/>
      <c r="B2" s="20"/>
      <c r="D2" s="20"/>
      <c r="E2" s="20"/>
      <c r="G2" s="20"/>
      <c r="H2" s="20"/>
      <c r="J2" s="20"/>
      <c r="K2" s="20"/>
    </row>
    <row r="3" spans="1:11" ht="37.5" customHeight="1" x14ac:dyDescent="0.25"/>
    <row r="4" spans="1:11" ht="18" customHeight="1" x14ac:dyDescent="0.25">
      <c r="A4" s="9" t="s">
        <v>1</v>
      </c>
      <c r="B4" t="s">
        <v>305</v>
      </c>
      <c r="D4" s="9" t="s">
        <v>1</v>
      </c>
      <c r="E4" t="s">
        <v>306</v>
      </c>
      <c r="G4" s="9" t="s">
        <v>1</v>
      </c>
      <c r="H4" t="s">
        <v>302</v>
      </c>
      <c r="J4" s="9" t="s">
        <v>1</v>
      </c>
      <c r="K4" t="s">
        <v>303</v>
      </c>
    </row>
    <row r="5" spans="1:11" ht="18" customHeight="1" x14ac:dyDescent="0.25">
      <c r="A5" s="10" t="s">
        <v>187</v>
      </c>
      <c r="B5" s="34">
        <v>384</v>
      </c>
      <c r="D5" s="10" t="s">
        <v>123</v>
      </c>
      <c r="E5" s="34">
        <v>249</v>
      </c>
      <c r="G5" s="10" t="s">
        <v>299</v>
      </c>
      <c r="H5" s="11">
        <v>0.63200000000000001</v>
      </c>
      <c r="J5" s="10" t="s">
        <v>267</v>
      </c>
      <c r="K5" s="11">
        <v>0.51</v>
      </c>
    </row>
    <row r="6" spans="1:11" ht="18" customHeight="1" x14ac:dyDescent="0.25">
      <c r="A6" s="10" t="s">
        <v>43</v>
      </c>
      <c r="B6" s="34">
        <v>376</v>
      </c>
      <c r="D6" s="10" t="s">
        <v>267</v>
      </c>
      <c r="E6" s="34">
        <v>245</v>
      </c>
      <c r="G6" s="10" t="s">
        <v>219</v>
      </c>
      <c r="H6" s="11">
        <v>0.63600000000000001</v>
      </c>
      <c r="J6" s="10" t="s">
        <v>235</v>
      </c>
      <c r="K6" s="11">
        <v>0.57800000000000007</v>
      </c>
    </row>
    <row r="7" spans="1:11" ht="18" customHeight="1" x14ac:dyDescent="0.25">
      <c r="A7" s="10" t="s">
        <v>75</v>
      </c>
      <c r="B7" s="34">
        <v>324</v>
      </c>
      <c r="D7" s="10" t="s">
        <v>91</v>
      </c>
      <c r="E7" s="34">
        <v>214</v>
      </c>
      <c r="G7" s="10" t="s">
        <v>187</v>
      </c>
      <c r="H7" s="11">
        <v>0.76800000000000002</v>
      </c>
      <c r="J7" s="10" t="s">
        <v>123</v>
      </c>
      <c r="K7" s="11">
        <v>0.502</v>
      </c>
    </row>
    <row r="8" spans="1:11" ht="18" customHeight="1" x14ac:dyDescent="0.25">
      <c r="A8" s="10" t="s">
        <v>219</v>
      </c>
      <c r="B8" s="34">
        <v>318</v>
      </c>
      <c r="D8" s="10" t="s">
        <v>107</v>
      </c>
      <c r="E8" s="34">
        <v>213</v>
      </c>
      <c r="G8" s="10" t="s">
        <v>75</v>
      </c>
      <c r="H8" s="11">
        <v>0.64800000000000002</v>
      </c>
      <c r="J8" s="10" t="s">
        <v>107</v>
      </c>
      <c r="K8" s="11">
        <v>0.57400000000000007</v>
      </c>
    </row>
    <row r="9" spans="1:11" ht="18" customHeight="1" x14ac:dyDescent="0.25">
      <c r="A9" s="10" t="s">
        <v>299</v>
      </c>
      <c r="B9" s="34">
        <v>316</v>
      </c>
      <c r="D9" s="10" t="s">
        <v>235</v>
      </c>
      <c r="E9" s="34">
        <v>211</v>
      </c>
      <c r="G9" s="10" t="s">
        <v>43</v>
      </c>
      <c r="H9" s="11">
        <v>0.752</v>
      </c>
      <c r="J9" s="10" t="s">
        <v>91</v>
      </c>
      <c r="K9" s="11">
        <v>0.57200000000000006</v>
      </c>
    </row>
    <row r="10" spans="1:11" ht="18" customHeight="1" x14ac:dyDescent="0.25"/>
    <row r="11" spans="1:11" ht="18" customHeight="1" x14ac:dyDescent="0.25"/>
    <row r="12" spans="1:11" ht="18" customHeight="1" x14ac:dyDescent="0.25"/>
    <row r="13" spans="1:11" ht="18" customHeight="1" x14ac:dyDescent="0.25"/>
    <row r="14" spans="1:11" ht="18" customHeight="1" x14ac:dyDescent="0.25"/>
    <row r="15" spans="1:11" ht="18" customHeight="1" x14ac:dyDescent="0.25"/>
    <row r="16" spans="1:11" ht="18" customHeight="1" x14ac:dyDescent="0.25"/>
    <row r="17" spans="7:7" ht="18" customHeight="1" x14ac:dyDescent="0.25"/>
    <row r="18" spans="7:7" ht="18" customHeight="1" x14ac:dyDescent="0.25"/>
    <row r="19" spans="7:7" ht="18" customHeight="1" x14ac:dyDescent="0.25"/>
    <row r="20" spans="7:7" ht="18" customHeight="1" x14ac:dyDescent="0.25"/>
    <row r="21" spans="7:7" ht="18" customHeight="1" x14ac:dyDescent="0.25"/>
    <row r="23" spans="7:7" x14ac:dyDescent="0.25">
      <c r="G23" t="s">
        <v>304</v>
      </c>
    </row>
  </sheetData>
  <mergeCells count="4">
    <mergeCell ref="A1:B2"/>
    <mergeCell ref="D1:E2"/>
    <mergeCell ref="G1:H2"/>
    <mergeCell ref="J1:K2"/>
  </mergeCells>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25" r:id="rId8" name="Check Box 1">
              <controlPr defaultSize="0" autoFill="0" autoLine="0" autoPict="0" macro="[0]!Macro1">
                <anchor moveWithCells="1">
                  <from>
                    <xdr:col>0</xdr:col>
                    <xdr:colOff>85725</xdr:colOff>
                    <xdr:row>2</xdr:row>
                    <xdr:rowOff>152400</xdr:rowOff>
                  </from>
                  <to>
                    <xdr:col>1</xdr:col>
                    <xdr:colOff>1695450</xdr:colOff>
                    <xdr:row>2</xdr:row>
                    <xdr:rowOff>323850</xdr:rowOff>
                  </to>
                </anchor>
              </controlPr>
            </control>
          </mc:Choice>
        </mc:AlternateContent>
        <mc:AlternateContent xmlns:mc="http://schemas.openxmlformats.org/markup-compatibility/2006">
          <mc:Choice Requires="x14">
            <control shapeId="1026" r:id="rId9" name="Check Box 2">
              <controlPr defaultSize="0" autoFill="0" autoLine="0" autoPict="0" macro="[0]!Macro1">
                <anchor moveWithCells="1">
                  <from>
                    <xdr:col>3</xdr:col>
                    <xdr:colOff>19050</xdr:colOff>
                    <xdr:row>2</xdr:row>
                    <xdr:rowOff>133350</xdr:rowOff>
                  </from>
                  <to>
                    <xdr:col>5</xdr:col>
                    <xdr:colOff>0</xdr:colOff>
                    <xdr:row>2</xdr:row>
                    <xdr:rowOff>295275</xdr:rowOff>
                  </to>
                </anchor>
              </controlPr>
            </control>
          </mc:Choice>
        </mc:AlternateContent>
        <mc:AlternateContent xmlns:mc="http://schemas.openxmlformats.org/markup-compatibility/2006">
          <mc:Choice Requires="x14">
            <control shapeId="1027" r:id="rId10" name="Check Box 3">
              <controlPr defaultSize="0" autoFill="0" autoLine="0" autoPict="0" macro="[0]!Macro1">
                <anchor moveWithCells="1">
                  <from>
                    <xdr:col>6</xdr:col>
                    <xdr:colOff>38100</xdr:colOff>
                    <xdr:row>2</xdr:row>
                    <xdr:rowOff>133350</xdr:rowOff>
                  </from>
                  <to>
                    <xdr:col>7</xdr:col>
                    <xdr:colOff>1800225</xdr:colOff>
                    <xdr:row>2</xdr:row>
                    <xdr:rowOff>295275</xdr:rowOff>
                  </to>
                </anchor>
              </controlPr>
            </control>
          </mc:Choice>
        </mc:AlternateContent>
        <mc:AlternateContent xmlns:mc="http://schemas.openxmlformats.org/markup-compatibility/2006">
          <mc:Choice Requires="x14">
            <control shapeId="1028" r:id="rId11" name="Check Box 4">
              <controlPr defaultSize="0" autoFill="0" autoLine="0" autoPict="0" macro="[0]!Macro1">
                <anchor moveWithCells="1">
                  <from>
                    <xdr:col>9</xdr:col>
                    <xdr:colOff>9525</xdr:colOff>
                    <xdr:row>2</xdr:row>
                    <xdr:rowOff>133350</xdr:rowOff>
                  </from>
                  <to>
                    <xdr:col>11</xdr:col>
                    <xdr:colOff>19050</xdr:colOff>
                    <xdr:row>2</xdr:row>
                    <xdr:rowOff>314325</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D1A1EC-F7AA-42A6-A37E-19B83F411B82}">
  <dimension ref="A1"/>
  <sheetViews>
    <sheetView showGridLines="0" showRowColHeaders="0" tabSelected="1" zoomScaleNormal="100" workbookViewId="0"/>
  </sheetViews>
  <sheetFormatPr defaultRowHeight="15" x14ac:dyDescent="0.25"/>
  <sheetData/>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 DATA</vt:lpstr>
      <vt:lpstr>Pivot || anlysis</vt:lpstr>
      <vt:lpstr>Sales || DashBoard</vt:lpstr>
      <vt:lpstr>Region || 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harshitjonwal55@gmail.com</dc:creator>
  <cp:lastModifiedBy>harshitjonwal55@gmail.com</cp:lastModifiedBy>
  <dcterms:created xsi:type="dcterms:W3CDTF">2025-09-20T17:21:19Z</dcterms:created>
  <dcterms:modified xsi:type="dcterms:W3CDTF">2025-10-15T15:00:37Z</dcterms:modified>
</cp:coreProperties>
</file>